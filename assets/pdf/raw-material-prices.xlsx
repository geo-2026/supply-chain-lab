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읽는 법" sheetId="1" state="visible" r:id="rId3"/>
    <sheet name="원료 가격" sheetId="2" state="visible" r:id="rId4"/>
    <sheet name="계산 근거" sheetId="3" state="visible" r:id="rId5"/>
    <sheet name="환율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<sst xmlns="http://schemas.openxmlformats.org/spreadsheetml/2006/main" count="415" uniqueCount="254">
  <si>
    <t xml:space="preserve">이 표를 읽는 법</t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</si>
  <si>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「수출용 도매 가격」은 원료가 나라와 나라 사이에서 대량으로 거래될 때의 가격입니다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) 1,000kg </t>
    </r>
    <r>
      <rPr>
        <sz val="10"/>
        <rFont val="Noto Sans CJK SC"/>
        <family val="2"/>
      </rPr>
      <t xml:space="preserve">당 </t>
    </r>
    <r>
      <rPr>
        <sz val="10"/>
        <rFont val="맑은 고딕"/>
        <family val="0"/>
        <charset val="1"/>
      </rPr>
      <t xml:space="preserve">7,558 </t>
    </r>
    <r>
      <rPr>
        <sz val="10"/>
        <rFont val="Noto Sans CJK SC"/>
        <family val="2"/>
      </rPr>
      <t xml:space="preserve">위안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원료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톤을 </t>
    </r>
    <r>
      <rPr>
        <sz val="10"/>
        <rFont val="맑은 고딕"/>
        <family val="0"/>
        <charset val="1"/>
      </rPr>
      <t xml:space="preserve">7,558</t>
    </r>
    <r>
      <rPr>
        <sz val="10"/>
        <rFont val="Noto Sans CJK SC"/>
        <family val="2"/>
      </rPr>
      <t xml:space="preserve">위안에 사고판다는 뜻입니다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</si>
  <si>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「제품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단위 생산에 필요한 원료 비용」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제품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단위에 드는 원료 양</t>
    </r>
    <r>
      <rPr>
        <sz val="10"/>
        <rFont val="맑은 고딕"/>
        <family val="0"/>
        <charset val="1"/>
      </rPr>
      <t xml:space="preserve">(g)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1,000. </t>
    </r>
    <r>
      <rPr>
        <sz val="10"/>
        <rFont val="Noto Sans CJK SC"/>
        <family val="2"/>
      </rPr>
      <t xml:space="preserve">계산 과정은 「계산 근거」 시트에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</si>
  <si>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제품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단위는 부가가치 학습자료와 같습니다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사인펜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상자</t>
    </r>
    <r>
      <rPr>
        <sz val="10"/>
        <rFont val="맑은 고딕"/>
        <family val="0"/>
        <charset val="1"/>
      </rPr>
      <t xml:space="preserve">(12</t>
    </r>
    <r>
      <rPr>
        <sz val="10"/>
        <rFont val="Noto Sans CJK SC"/>
        <family val="2"/>
      </rPr>
      <t xml:space="preserve">자루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운동화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켤레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후드 집업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세트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</si>
  <si>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노란 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제품별 합계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부가가치 학습자료 「원료」 단계 금액의 근거입니다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60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사인펜 </t>
    </r>
    <r>
      <rPr>
        <sz val="10"/>
        <rFont val="맑은 고딕"/>
        <family val="0"/>
        <charset val="1"/>
      </rPr>
      <t xml:space="preserve">120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운동화 </t>
    </r>
    <r>
      <rPr>
        <sz val="10"/>
        <rFont val="맑은 고딕"/>
        <family val="0"/>
        <charset val="1"/>
      </rPr>
      <t xml:space="preserve">1,000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후드 집업 </t>
    </r>
    <r>
      <rPr>
        <sz val="10"/>
        <rFont val="맑은 고딕"/>
        <family val="0"/>
        <charset val="1"/>
      </rPr>
      <t xml:space="preserve">1,500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560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</si>
  <si>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원유 줄은 플라스틱 수지</t>
    </r>
    <r>
      <rPr>
        <sz val="10"/>
        <rFont val="맑은 고딕"/>
        <family val="0"/>
        <charset val="1"/>
      </rPr>
      <t xml:space="preserve">(PP·ABS·PC) </t>
    </r>
    <r>
      <rPr>
        <sz val="10"/>
        <rFont val="Noto Sans CJK SC"/>
        <family val="2"/>
      </rPr>
      <t xml:space="preserve">가격에 이미 원유 값이 들어 있어 합계에서 뺐습니다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원료가 어디서 시작되는지 보여 주려고 남겨 두었습니다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</si>
  <si>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일은 토요일이라 직전 거래일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31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금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가격을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 가격이 공개되지 않은 원료는 가장 가까운 날짜나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 가격을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비고 열의 「기준」을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</si>
  <si>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  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· 7</t>
    </r>
    <r>
      <rPr>
        <sz val="10"/>
        <rFont val="Noto Sans CJK SC"/>
        <family val="2"/>
      </rPr>
      <t xml:space="preserve">월 평균 </t>
    </r>
    <r>
      <rPr>
        <sz val="10"/>
        <rFont val="맑은 고딕"/>
        <family val="0"/>
        <charset val="1"/>
      </rPr>
      <t xml:space="preserve">· 7</t>
    </r>
    <r>
      <rPr>
        <sz val="10"/>
        <rFont val="Noto Sans CJK SC"/>
        <family val="2"/>
      </rPr>
      <t xml:space="preserve">월 근접일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대용 지표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비슷한 원료 가격으로 대신함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참고 목록가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판매 목록</t>
    </r>
    <r>
      <rPr>
        <sz val="10"/>
        <rFont val="맑은 고딕"/>
        <family val="0"/>
        <charset val="1"/>
      </rPr>
      <t xml:space="preserve">, 2026-10-16 </t>
    </r>
    <r>
      <rPr>
        <sz val="10"/>
        <rFont val="Noto Sans CJK SC"/>
        <family val="2"/>
      </rPr>
      <t xml:space="preserve">조회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미확인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</si>
  <si>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파란 글씨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원료 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환율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바꾸면 원료 비용과 합계가 자동으로 다시 계산됩니다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</si>
  <si>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라벨 원료의 수출용 도매 가격과 제품 </t>
    </r>
    <r>
      <rPr>
        <b val="true"/>
        <sz val="13"/>
        <rFont val="맑은 고딕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단위의 원료 비용 — </t>
    </r>
    <r>
      <rPr>
        <b val="true"/>
        <sz val="13"/>
        <rFont val="맑은 고딕"/>
        <family val="0"/>
        <charset val="1"/>
      </rPr>
      <t xml:space="preserve">2026</t>
    </r>
    <r>
      <rPr>
        <b val="true"/>
        <sz val="13"/>
        <rFont val="Noto Sans CJK SC"/>
        <family val="2"/>
      </rPr>
      <t xml:space="preserve">년 </t>
    </r>
    <r>
      <rPr>
        <b val="true"/>
        <sz val="13"/>
        <rFont val="맑은 고딕"/>
        <family val="0"/>
        <charset val="1"/>
      </rPr>
      <t xml:space="preserve">8</t>
    </r>
    <r>
      <rPr>
        <b val="true"/>
        <sz val="13"/>
        <rFont val="Noto Sans CJK SC"/>
        <family val="2"/>
      </rPr>
      <t xml:space="preserve">월 </t>
    </r>
    <r>
      <rPr>
        <b val="true"/>
        <sz val="13"/>
        <rFont val="맑은 고딕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일 기준</t>
    </r>
  </si>
  <si>
    <r>
      <rPr>
        <sz val="9"/>
        <color rgb="FF555555"/>
        <rFont val="Noto Sans CJK SC"/>
        <family val="2"/>
      </rPr>
      <t xml:space="preserve">제품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단위 </t>
    </r>
    <r>
      <rPr>
        <sz val="9"/>
        <color rgb="FF555555"/>
        <rFont val="맑은 고딕"/>
        <family val="0"/>
        <charset val="1"/>
      </rPr>
      <t xml:space="preserve">= </t>
    </r>
    <r>
      <rPr>
        <sz val="9"/>
        <color rgb="FF555555"/>
        <rFont val="Noto Sans CJK SC"/>
        <family val="2"/>
      </rPr>
      <t xml:space="preserve">립밤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개 </t>
    </r>
    <r>
      <rPr>
        <sz val="9"/>
        <color rgb="FF555555"/>
        <rFont val="맑은 고딕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사인펜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상자</t>
    </r>
    <r>
      <rPr>
        <sz val="9"/>
        <color rgb="FF555555"/>
        <rFont val="맑은 고딕"/>
        <family val="0"/>
        <charset val="1"/>
      </rPr>
      <t xml:space="preserve">(12</t>
    </r>
    <r>
      <rPr>
        <sz val="9"/>
        <color rgb="FF555555"/>
        <rFont val="Noto Sans CJK SC"/>
        <family val="2"/>
      </rPr>
      <t xml:space="preserve">자루</t>
    </r>
    <r>
      <rPr>
        <sz val="9"/>
        <color rgb="FF555555"/>
        <rFont val="맑은 고딕"/>
        <family val="0"/>
        <charset val="1"/>
      </rPr>
      <t xml:space="preserve">) · </t>
    </r>
    <r>
      <rPr>
        <sz val="9"/>
        <color rgb="FF555555"/>
        <rFont val="Noto Sans CJK SC"/>
        <family val="2"/>
      </rPr>
      <t xml:space="preserve">운동화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켤레 </t>
    </r>
    <r>
      <rPr>
        <sz val="9"/>
        <color rgb="FF555555"/>
        <rFont val="맑은 고딕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후드 집업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벌 </t>
    </r>
    <r>
      <rPr>
        <sz val="9"/>
        <color rgb="FF555555"/>
        <rFont val="맑은 고딕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무선 이어폰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세트 </t>
    </r>
    <r>
      <rPr>
        <sz val="9"/>
        <color rgb="FF555555"/>
        <rFont val="맑은 고딕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쿠키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봉</t>
    </r>
    <r>
      <rPr>
        <sz val="9"/>
        <color rgb="FF555555"/>
        <rFont val="맑은 고딕"/>
        <family val="0"/>
        <charset val="1"/>
      </rPr>
      <t xml:space="preserve">(180g). </t>
    </r>
    <r>
      <rPr>
        <sz val="9"/>
        <color rgb="FF555555"/>
        <rFont val="Noto Sans CJK SC"/>
        <family val="2"/>
      </rPr>
      <t xml:space="preserve">부가가치 학습자료의 「원료」 단계 금액과 같은 기준입니다</t>
    </r>
    <r>
      <rPr>
        <sz val="9"/>
        <color rgb="FF555555"/>
        <rFont val="맑은 고딕"/>
        <family val="0"/>
        <charset val="1"/>
      </rPr>
      <t xml:space="preserve">.</t>
    </r>
  </si>
  <si>
    <t xml:space="preserve">번호</t>
  </si>
  <si>
    <t xml:space="preserve">제품</t>
  </si>
  <si>
    <t xml:space="preserve">라벨표시 산지</t>
  </si>
  <si>
    <t xml:space="preserve">수출용 도매 가격</t>
  </si>
  <si>
    <r>
      <rPr>
        <b val="true"/>
        <sz val="10"/>
        <color rgb="FFFFFFFF"/>
        <rFont val="Noto Sans CJK SC"/>
        <family val="2"/>
      </rPr>
      <t xml:space="preserve">제품 </t>
    </r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단위 생산에 필요한 원료 비용</t>
    </r>
  </si>
  <si>
    <t xml:space="preserve">비용 추정 근거</t>
  </si>
  <si>
    <t xml:space="preserve">출처</t>
  </si>
  <si>
    <t xml:space="preserve">통화코드</t>
  </si>
  <si>
    <t xml:space="preserve">비고</t>
  </si>
  <si>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시어버터 </t>
    </r>
    <r>
      <rPr>
        <sz val="10"/>
        <rFont val="맑은 고딕"/>
        <family val="0"/>
        <charset val="1"/>
      </rPr>
      <t xml:space="preserve">(35%)</t>
    </r>
  </si>
  <si>
    <t xml:space="preserve">부르키나파소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</si>
  <si>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1.575g (</t>
    </r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4.5g × </t>
    </r>
    <r>
      <rPr>
        <sz val="10"/>
        <rFont val="Noto Sans CJK SC"/>
        <family val="2"/>
      </rPr>
      <t xml:space="preserve">시어버터 </t>
    </r>
    <r>
      <rPr>
        <sz val="10"/>
        <rFont val="맑은 고딕"/>
        <family val="0"/>
        <charset val="1"/>
      </rPr>
      <t xml:space="preserve">35%)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</si>
  <si>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Accio 시어버터 도매 목록</t>
  </si>
  <si>
    <t xml:space="preserve">USD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</si>
  <si>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참고 목록가 </t>
    </r>
    <r>
      <rPr>
        <sz val="10"/>
        <rFont val="맑은 고딕"/>
        <family val="0"/>
        <charset val="1"/>
      </rPr>
      <t xml:space="preserve">(2026-10-16 </t>
    </r>
    <r>
      <rPr>
        <sz val="10"/>
        <rFont val="Noto Sans CJK SC"/>
        <family val="2"/>
      </rPr>
      <t xml:space="preserve">조회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비정제 시어버터 도매 목록가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중간값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목록가 범위 </t>
    </r>
    <r>
      <rPr>
        <sz val="10"/>
        <rFont val="맑은 고딕"/>
        <family val="0"/>
        <charset val="1"/>
      </rPr>
      <t xml:space="preserve">5.58~8.90 USD/kg</t>
    </r>
    <r>
      <rPr>
        <sz val="10"/>
        <rFont val="Noto Sans CJK SC"/>
        <family val="2"/>
      </rPr>
      <t xml:space="preserve">의 중간값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날짜 없는 판매 목록이라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일 시세가 아님</t>
    </r>
  </si>
  <si>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밀납 </t>
    </r>
    <r>
      <rPr>
        <sz val="10"/>
        <rFont val="맑은 고딕"/>
        <family val="0"/>
        <charset val="1"/>
      </rPr>
      <t xml:space="preserve">(25%)</t>
    </r>
  </si>
  <si>
    <t xml:space="preserve">중국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</si>
  <si>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1.125g (</t>
    </r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4.5g × </t>
    </r>
    <r>
      <rPr>
        <sz val="10"/>
        <rFont val="Noto Sans CJK SC"/>
        <family val="2"/>
      </rPr>
      <t xml:space="preserve">밀납 </t>
    </r>
    <r>
      <rPr>
        <sz val="10"/>
        <rFont val="맑은 고딕"/>
        <family val="0"/>
        <charset val="1"/>
      </rPr>
      <t xml:space="preserve">25%)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</si>
  <si>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Bulk Natural Oils: 밀납(황색 과립)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</si>
  <si>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참고 목록가 </t>
    </r>
    <r>
      <rPr>
        <sz val="10"/>
        <rFont val="맑은 고딕"/>
        <family val="0"/>
        <charset val="1"/>
      </rPr>
      <t xml:space="preserve">(2026-10-16 </t>
    </r>
    <r>
      <rPr>
        <sz val="10"/>
        <rFont val="Noto Sans CJK SC"/>
        <family val="2"/>
      </rPr>
      <t xml:space="preserve">조회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황색 밀납 과립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중국산 도매 목록가</t>
    </r>
    <r>
      <rPr>
        <sz val="10"/>
        <rFont val="맑은 고딕"/>
        <family val="0"/>
        <charset val="1"/>
      </rPr>
      <t xml:space="preserve">. 12.5kg 120</t>
    </r>
    <r>
      <rPr>
        <sz val="10"/>
        <rFont val="Noto Sans CJK SC"/>
        <family val="2"/>
      </rPr>
      <t xml:space="preserve">달러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미국산은 </t>
    </r>
    <r>
      <rPr>
        <sz val="10"/>
        <rFont val="맑은 고딕"/>
        <family val="0"/>
        <charset val="1"/>
      </rPr>
      <t xml:space="preserve">11.60 USD/kg</t>
    </r>
  </si>
  <si>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코코넛오일 </t>
    </r>
    <r>
      <rPr>
        <sz val="10"/>
        <rFont val="맑은 고딕"/>
        <family val="0"/>
        <charset val="1"/>
      </rPr>
      <t xml:space="preserve">(15%)</t>
    </r>
  </si>
  <si>
    <t xml:space="preserve">필리핀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</si>
  <si>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0.675g (</t>
    </r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4.5g × </t>
    </r>
    <r>
      <rPr>
        <sz val="10"/>
        <rFont val="Noto Sans CJK SC"/>
        <family val="2"/>
      </rPr>
      <t xml:space="preserve">코코넛오일 </t>
    </r>
    <r>
      <rPr>
        <sz val="10"/>
        <rFont val="맑은 고딕"/>
        <family val="0"/>
        <charset val="1"/>
      </rPr>
      <t xml:space="preserve">15%)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</si>
  <si>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세계은행 Pink Sheet (2026년 8월 4일 발행, 7월 평균)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</si>
  <si>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평균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코코넛오일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세계은행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</si>
  <si>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해바라기씨오일 </t>
    </r>
    <r>
      <rPr>
        <sz val="10"/>
        <rFont val="맑은 고딕"/>
        <family val="0"/>
        <charset val="1"/>
      </rPr>
      <t xml:space="preserve">(12%)</t>
    </r>
  </si>
  <si>
    <t xml:space="preserve">우크라이나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</si>
  <si>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0.54g (</t>
    </r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4.5g × </t>
    </r>
    <r>
      <rPr>
        <sz val="10"/>
        <rFont val="Noto Sans CJK SC"/>
        <family val="2"/>
      </rPr>
      <t xml:space="preserve">해바라기씨오일 </t>
    </r>
    <r>
      <rPr>
        <sz val="10"/>
        <rFont val="맑은 고딕"/>
        <family val="0"/>
        <charset val="1"/>
      </rPr>
      <t xml:space="preserve">12%)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</si>
  <si>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Commodity-Board: 우크라이나 해바라기 시장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</si>
  <si>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근접일 </t>
    </r>
    <r>
      <rPr>
        <sz val="10"/>
        <rFont val="맑은 고딕"/>
        <family val="0"/>
        <charset val="1"/>
      </rPr>
      <t xml:space="preserve">(2026-07-16</t>
    </r>
    <r>
      <rPr>
        <sz val="10"/>
        <rFont val="Noto Sans CJK SC"/>
        <family val="2"/>
      </rPr>
      <t xml:space="preserve">까지 자료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우크라이나 해바라기유 </t>
    </r>
    <r>
      <rPr>
        <sz val="10"/>
        <rFont val="맑은 고딕"/>
        <family val="0"/>
        <charset val="1"/>
      </rPr>
      <t xml:space="preserve">FOB (</t>
    </r>
    <r>
      <rPr>
        <sz val="10"/>
        <rFont val="Noto Sans CJK SC"/>
        <family val="2"/>
      </rPr>
      <t xml:space="preserve">중간값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범위 </t>
    </r>
    <r>
      <rPr>
        <sz val="10"/>
        <rFont val="맑은 고딕"/>
        <family val="0"/>
        <charset val="1"/>
      </rPr>
      <t xml:space="preserve">1,370~1,385 USD/t</t>
    </r>
    <r>
      <rPr>
        <sz val="10"/>
        <rFont val="Noto Sans CJK SC"/>
        <family val="2"/>
      </rPr>
      <t xml:space="preserve">의 중간값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기사 스스로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호가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라고 밝힘</t>
    </r>
  </si>
  <si>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호호바씨오일 </t>
    </r>
    <r>
      <rPr>
        <sz val="10"/>
        <rFont val="맑은 고딕"/>
        <family val="0"/>
        <charset val="1"/>
      </rPr>
      <t xml:space="preserve">(8%)</t>
    </r>
  </si>
  <si>
    <t xml:space="preserve">아르헨티나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</si>
  <si>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0.36g (</t>
    </r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4.5g × </t>
    </r>
    <r>
      <rPr>
        <sz val="10"/>
        <rFont val="Noto Sans CJK SC"/>
        <family val="2"/>
      </rPr>
      <t xml:space="preserve">호호바씨오일 </t>
    </r>
    <r>
      <rPr>
        <sz val="10"/>
        <rFont val="맑은 고딕"/>
        <family val="0"/>
        <charset val="1"/>
      </rPr>
      <t xml:space="preserve">8%)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</si>
  <si>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Bulk Natural Oils: 호호바오일(골든)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</si>
  <si>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참고 목록가 </t>
    </r>
    <r>
      <rPr>
        <sz val="10"/>
        <rFont val="맑은 고딕"/>
        <family val="0"/>
        <charset val="1"/>
      </rPr>
      <t xml:space="preserve">(2026-10-16 </t>
    </r>
    <r>
      <rPr>
        <sz val="10"/>
        <rFont val="Noto Sans CJK SC"/>
        <family val="2"/>
      </rPr>
      <t xml:space="preserve">조회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골든 호호바오일 도매 목록가</t>
    </r>
    <r>
      <rPr>
        <sz val="10"/>
        <rFont val="맑은 고딕"/>
        <family val="0"/>
        <charset val="1"/>
      </rPr>
      <t xml:space="preserve">. 17kg </t>
    </r>
    <r>
      <rPr>
        <sz val="10"/>
        <rFont val="Noto Sans CJK SC"/>
        <family val="2"/>
      </rPr>
      <t xml:space="preserve">통 </t>
    </r>
    <r>
      <rPr>
        <sz val="10"/>
        <rFont val="맑은 고딕"/>
        <family val="0"/>
        <charset val="1"/>
      </rPr>
      <t xml:space="preserve">250.75</t>
    </r>
    <r>
      <rPr>
        <sz val="10"/>
        <rFont val="Noto Sans CJK SC"/>
        <family val="2"/>
      </rPr>
      <t xml:space="preserve">달러</t>
    </r>
  </si>
  <si>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카나우바왁스 </t>
    </r>
    <r>
      <rPr>
        <sz val="10"/>
        <rFont val="맑은 고딕"/>
        <family val="0"/>
        <charset val="1"/>
      </rPr>
      <t xml:space="preserve">(4.5%)</t>
    </r>
  </si>
  <si>
    <t xml:space="preserve">브라질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</si>
  <si>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0.2025g (</t>
    </r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4.5g × </t>
    </r>
    <r>
      <rPr>
        <sz val="10"/>
        <rFont val="Noto Sans CJK SC"/>
        <family val="2"/>
      </rPr>
      <t xml:space="preserve">카나우바왁스 </t>
    </r>
    <r>
      <rPr>
        <sz val="10"/>
        <rFont val="맑은 고딕"/>
        <family val="0"/>
        <charset val="1"/>
      </rPr>
      <t xml:space="preserve">4.5%)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</si>
  <si>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Bulk Natural Oils: 카나우바왁스 T1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</si>
  <si>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참고 목록가 </t>
    </r>
    <r>
      <rPr>
        <sz val="10"/>
        <rFont val="맑은 고딕"/>
        <family val="0"/>
        <charset val="1"/>
      </rPr>
      <t xml:space="preserve">(2026-10-16 </t>
    </r>
    <r>
      <rPr>
        <sz val="10"/>
        <rFont val="Noto Sans CJK SC"/>
        <family val="2"/>
      </rPr>
      <t xml:space="preserve">조회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카나우바왁스 </t>
    </r>
    <r>
      <rPr>
        <sz val="10"/>
        <rFont val="맑은 고딕"/>
        <family val="0"/>
        <charset val="1"/>
      </rPr>
      <t xml:space="preserve">T1 </t>
    </r>
    <r>
      <rPr>
        <sz val="10"/>
        <rFont val="Noto Sans CJK SC"/>
        <family val="2"/>
      </rPr>
      <t xml:space="preserve">도매 목록가</t>
    </r>
    <r>
      <rPr>
        <sz val="10"/>
        <rFont val="맑은 고딕"/>
        <family val="0"/>
        <charset val="1"/>
      </rPr>
      <t xml:space="preserve">. 25kg 410</t>
    </r>
    <r>
      <rPr>
        <sz val="10"/>
        <rFont val="Noto Sans CJK SC"/>
        <family val="2"/>
      </rPr>
      <t xml:space="preserve">달러</t>
    </r>
  </si>
  <si>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토코페롤 </t>
    </r>
    <r>
      <rPr>
        <sz val="10"/>
        <rFont val="맑은 고딕"/>
        <family val="0"/>
        <charset val="1"/>
      </rPr>
      <t xml:space="preserve">(0.5%)</t>
    </r>
  </si>
  <si>
    <t xml:space="preserve">프랑스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</si>
  <si>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0.0225g (</t>
    </r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4.5g × </t>
    </r>
    <r>
      <rPr>
        <sz val="10"/>
        <rFont val="Noto Sans CJK SC"/>
        <family val="2"/>
      </rPr>
      <t xml:space="preserve">토코페롤 </t>
    </r>
    <r>
      <rPr>
        <sz val="10"/>
        <rFont val="맑은 고딕"/>
        <family val="0"/>
        <charset val="1"/>
      </rPr>
      <t xml:space="preserve">0.5%)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</si>
  <si>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—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</si>
  <si>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공개된 시세를 찾지 못함</t>
    </r>
  </si>
  <si>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폴리프로필렌</t>
    </r>
    <r>
      <rPr>
        <sz val="10"/>
        <rFont val="맑은 고딕"/>
        <family val="0"/>
        <charset val="1"/>
      </rPr>
      <t xml:space="preserve">(PP) </t>
    </r>
    <r>
      <rPr>
        <sz val="10"/>
        <rFont val="Noto Sans CJK SC"/>
        <family val="2"/>
      </rPr>
      <t xml:space="preserve">수지</t>
    </r>
  </si>
  <si>
    <r>
      <rPr>
        <sz val="10"/>
        <rFont val="Noto Sans CJK SC"/>
        <family val="2"/>
      </rPr>
      <t xml:space="preserve">대한민국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울산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</si>
  <si>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5g (</t>
    </r>
    <r>
      <rPr>
        <sz val="10"/>
        <rFont val="Noto Sans CJK SC"/>
        <family val="2"/>
      </rPr>
      <t xml:space="preserve">립밤 용기 무게 약 </t>
    </r>
    <r>
      <rPr>
        <sz val="10"/>
        <rFont val="맑은 고딕"/>
        <family val="0"/>
        <charset val="1"/>
      </rPr>
      <t xml:space="preserve">5g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</si>
  <si>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SunSirs: China PP Prices Consolidate After July Rise</t>
  </si>
  <si>
    <t xml:space="preserve">CNY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</si>
  <si>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PP </t>
    </r>
    <r>
      <rPr>
        <sz val="10"/>
        <rFont val="Noto Sans CJK SC"/>
        <family val="2"/>
      </rPr>
      <t xml:space="preserve">중국 현물 기준가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라벨은 한국산 수지이나 공개 시세는 중국 기준가</t>
    </r>
  </si>
  <si>
    <r>
      <rPr>
        <sz val="10"/>
        <rFont val="Noto Sans CJK SC"/>
        <family val="2"/>
      </rPr>
      <t xml:space="preserve">립밤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수지 원료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원유</t>
    </r>
    <r>
      <rPr>
        <sz val="10"/>
        <rFont val="맑은 고딕"/>
        <family val="0"/>
        <charset val="1"/>
      </rPr>
      <t xml:space="preserve">)</t>
    </r>
  </si>
  <si>
    <t xml:space="preserve">사우디아라비아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</si>
  <si>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10g (</t>
    </r>
    <r>
      <rPr>
        <sz val="10"/>
        <rFont val="Noto Sans CJK SC"/>
        <family val="2"/>
      </rPr>
      <t xml:space="preserve">플라스틱 </t>
    </r>
    <r>
      <rPr>
        <sz val="10"/>
        <rFont val="맑은 고딕"/>
        <family val="0"/>
        <charset val="1"/>
      </rPr>
      <t xml:space="preserve">1kg</t>
    </r>
    <r>
      <rPr>
        <sz val="10"/>
        <rFont val="Noto Sans CJK SC"/>
        <family val="2"/>
      </rPr>
      <t xml:space="preserve">에 원유 약 </t>
    </r>
    <r>
      <rPr>
        <sz val="10"/>
        <rFont val="맑은 고딕"/>
        <family val="0"/>
        <charset val="1"/>
      </rPr>
      <t xml:space="preserve">2kg</t>
    </r>
    <r>
      <rPr>
        <sz val="10"/>
        <rFont val="Noto Sans CJK SC"/>
        <family val="2"/>
      </rPr>
      <t xml:space="preserve">이 든다고 가정 → 용기 </t>
    </r>
    <r>
      <rPr>
        <sz val="10"/>
        <rFont val="맑은 고딕"/>
        <family val="0"/>
        <charset val="1"/>
      </rPr>
      <t xml:space="preserve">5g × 2)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 · </t>
    </r>
    <r>
      <rPr>
        <sz val="10"/>
        <rFont val="Noto Sans CJK SC"/>
        <family val="2"/>
      </rPr>
      <t xml:space="preserve">수지 가격에 이미 들어 있어 합계에서 제외</t>
    </r>
  </si>
  <si>
    <t xml:space="preserve">미국 에너지정보청(EIA) Brent 현물 일별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</si>
  <si>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Brent </t>
    </r>
    <r>
      <rPr>
        <sz val="10"/>
        <rFont val="Noto Sans CJK SC"/>
        <family val="2"/>
      </rPr>
      <t xml:space="preserve">원유 현물 </t>
    </r>
    <r>
      <rPr>
        <sz val="10"/>
        <rFont val="맑은 고딕"/>
        <family val="0"/>
        <charset val="1"/>
      </rPr>
      <t xml:space="preserve">(EIA). 1</t>
    </r>
    <r>
      <rPr>
        <sz val="10"/>
        <rFont val="Noto Sans CJK SC"/>
        <family val="2"/>
      </rPr>
      <t xml:space="preserve">배럴 ≈ </t>
    </r>
    <r>
      <rPr>
        <sz val="10"/>
        <rFont val="맑은 고딕"/>
        <family val="0"/>
        <charset val="1"/>
      </rPr>
      <t xml:space="preserve">136.4kg</t>
    </r>
    <r>
      <rPr>
        <sz val="10"/>
        <rFont val="Noto Sans CJK SC"/>
        <family val="2"/>
      </rPr>
      <t xml:space="preserve">로 환산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가정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같은 날 </t>
    </r>
    <r>
      <rPr>
        <sz val="10"/>
        <rFont val="맑은 고딕"/>
        <family val="0"/>
        <charset val="1"/>
      </rPr>
      <t xml:space="preserve">Brent </t>
    </r>
    <r>
      <rPr>
        <sz val="10"/>
        <rFont val="Noto Sans CJK SC"/>
        <family val="2"/>
      </rPr>
      <t xml:space="preserve">선물 정산가는 </t>
    </r>
    <r>
      <rPr>
        <sz val="10"/>
        <rFont val="맑은 고딕"/>
        <family val="0"/>
        <charset val="1"/>
      </rPr>
      <t xml:space="preserve">90.12 USD</t>
    </r>
  </si>
  <si>
    <r>
      <rPr>
        <b val="true"/>
        <sz val="10"/>
        <rFont val="Noto Sans CJK SC"/>
        <family val="2"/>
      </rPr>
      <t xml:space="preserve">립밤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개 원료 비용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조사값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</si>
  <si>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부가가치 학습자료의 원료 단계 금액 </t>
    </r>
    <r>
      <rPr>
        <b val="true"/>
        <sz val="10"/>
        <rFont val="맑은 고딕"/>
        <family val="0"/>
        <charset val="1"/>
      </rPr>
      <t xml:space="preserve">: 60</t>
    </r>
    <r>
      <rPr>
        <b val="true"/>
        <sz val="10"/>
        <rFont val="Noto Sans CJK SC"/>
        <family val="2"/>
      </rPr>
      <t xml:space="preserve">원</t>
    </r>
  </si>
  <si>
    <r>
      <rPr>
        <b val="true"/>
        <sz val="10"/>
        <rFont val="Noto Sans CJK SC"/>
        <family val="2"/>
      </rPr>
      <t xml:space="preserve">조사값 합계에 원료 운송비를 더해 약 </t>
    </r>
    <r>
      <rPr>
        <b val="true"/>
        <sz val="10"/>
        <rFont val="맑은 고딕"/>
        <family val="0"/>
        <charset val="1"/>
      </rPr>
      <t xml:space="preserve">60</t>
    </r>
    <r>
      <rPr>
        <b val="true"/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</si>
  <si>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사인펜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상자</t>
    </r>
    <r>
      <rPr>
        <sz val="10"/>
        <rFont val="맑은 고딕"/>
        <family val="0"/>
        <charset val="1"/>
      </rPr>
      <t xml:space="preserve">(12</t>
    </r>
    <r>
      <rPr>
        <sz val="10"/>
        <rFont val="Noto Sans CJK SC"/>
        <family val="2"/>
      </rPr>
      <t xml:space="preserve">자루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몸체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캡 </t>
    </r>
    <r>
      <rPr>
        <sz val="10"/>
        <rFont val="맑은 고딕"/>
        <family val="0"/>
        <charset val="1"/>
      </rPr>
      <t xml:space="preserve">: PP </t>
    </r>
    <r>
      <rPr>
        <sz val="10"/>
        <rFont val="Noto Sans CJK SC"/>
        <family val="2"/>
      </rPr>
      <t xml:space="preserve">수지</t>
    </r>
  </si>
  <si>
    <r>
      <rPr>
        <sz val="10"/>
        <rFont val="Noto Sans CJK SC"/>
        <family val="2"/>
      </rPr>
      <t xml:space="preserve">대한민국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여수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</si>
  <si>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60g (1</t>
    </r>
    <r>
      <rPr>
        <sz val="10"/>
        <rFont val="Noto Sans CJK SC"/>
        <family val="2"/>
      </rPr>
      <t xml:space="preserve">자루 몸체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캡 약 </t>
    </r>
    <r>
      <rPr>
        <sz val="10"/>
        <rFont val="맑은 고딕"/>
        <family val="0"/>
        <charset val="1"/>
      </rPr>
      <t xml:space="preserve">5g × 12</t>
    </r>
    <r>
      <rPr>
        <sz val="10"/>
        <rFont val="Noto Sans CJK SC"/>
        <family val="2"/>
      </rPr>
      <t xml:space="preserve">자루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</si>
  <si>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PP </t>
    </r>
    <r>
      <rPr>
        <sz val="10"/>
        <rFont val="Noto Sans CJK SC"/>
        <family val="2"/>
      </rPr>
      <t xml:space="preserve">중국 현물 기준가</t>
    </r>
  </si>
  <si>
    <r>
      <rPr>
        <sz val="10"/>
        <rFont val="Noto Sans CJK SC"/>
        <family val="2"/>
      </rPr>
      <t xml:space="preserve">사인펜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상자</t>
    </r>
    <r>
      <rPr>
        <sz val="10"/>
        <rFont val="맑은 고딕"/>
        <family val="0"/>
        <charset val="1"/>
      </rPr>
      <t xml:space="preserve">(12</t>
    </r>
    <r>
      <rPr>
        <sz val="10"/>
        <rFont val="Noto Sans CJK SC"/>
        <family val="2"/>
      </rPr>
      <t xml:space="preserve">자루</t>
    </r>
    <r>
      <rPr>
        <sz val="10"/>
        <rFont val="맑은 고딕"/>
        <family val="0"/>
        <charset val="1"/>
      </rPr>
      <t xml:space="preserve">) · PP </t>
    </r>
    <r>
      <rPr>
        <sz val="10"/>
        <rFont val="Noto Sans CJK SC"/>
        <family val="2"/>
      </rPr>
      <t xml:space="preserve">원료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원유</t>
    </r>
  </si>
  <si>
    <t xml:space="preserve">쿠웨이트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</si>
  <si>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120g (</t>
    </r>
    <r>
      <rPr>
        <sz val="10"/>
        <rFont val="Noto Sans CJK SC"/>
        <family val="2"/>
      </rPr>
      <t xml:space="preserve">플라스틱 </t>
    </r>
    <r>
      <rPr>
        <sz val="10"/>
        <rFont val="맑은 고딕"/>
        <family val="0"/>
        <charset val="1"/>
      </rPr>
      <t xml:space="preserve">1kg</t>
    </r>
    <r>
      <rPr>
        <sz val="10"/>
        <rFont val="Noto Sans CJK SC"/>
        <family val="2"/>
      </rPr>
      <t xml:space="preserve">에 원유 약 </t>
    </r>
    <r>
      <rPr>
        <sz val="10"/>
        <rFont val="맑은 고딕"/>
        <family val="0"/>
        <charset val="1"/>
      </rPr>
      <t xml:space="preserve">2kg </t>
    </r>
    <r>
      <rPr>
        <sz val="10"/>
        <rFont val="Noto Sans CJK SC"/>
        <family val="2"/>
      </rPr>
      <t xml:space="preserve">가정 → </t>
    </r>
    <r>
      <rPr>
        <sz val="10"/>
        <rFont val="맑은 고딕"/>
        <family val="0"/>
        <charset val="1"/>
      </rPr>
      <t xml:space="preserve">60g × 2)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 · </t>
    </r>
    <r>
      <rPr>
        <sz val="10"/>
        <rFont val="Noto Sans CJK SC"/>
        <family val="2"/>
      </rPr>
      <t xml:space="preserve">수지 가격에 이미 들어 있어 합계에서 제외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</si>
  <si>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Brent </t>
    </r>
    <r>
      <rPr>
        <sz val="10"/>
        <rFont val="Noto Sans CJK SC"/>
        <family val="2"/>
      </rPr>
      <t xml:space="preserve">원유 현물 </t>
    </r>
    <r>
      <rPr>
        <sz val="10"/>
        <rFont val="맑은 고딕"/>
        <family val="0"/>
        <charset val="1"/>
      </rPr>
      <t xml:space="preserve">(EIA). </t>
    </r>
    <r>
      <rPr>
        <sz val="10"/>
        <rFont val="Noto Sans CJK SC"/>
        <family val="2"/>
      </rPr>
      <t xml:space="preserve">쿠웨이트 원유 대신 국제 기준 유종인 </t>
    </r>
    <r>
      <rPr>
        <sz val="10"/>
        <rFont val="맑은 고딕"/>
        <family val="0"/>
        <charset val="1"/>
      </rPr>
      <t xml:space="preserve">Brent </t>
    </r>
    <r>
      <rPr>
        <sz val="10"/>
        <rFont val="Noto Sans CJK SC"/>
        <family val="2"/>
      </rPr>
      <t xml:space="preserve">사용</t>
    </r>
  </si>
  <si>
    <r>
      <rPr>
        <sz val="10"/>
        <rFont val="Noto Sans CJK SC"/>
        <family val="2"/>
      </rPr>
      <t xml:space="preserve">사인펜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상자</t>
    </r>
    <r>
      <rPr>
        <sz val="10"/>
        <rFont val="맑은 고딕"/>
        <family val="0"/>
        <charset val="1"/>
      </rPr>
      <t xml:space="preserve">(12</t>
    </r>
    <r>
      <rPr>
        <sz val="10"/>
        <rFont val="Noto Sans CJK SC"/>
        <family val="2"/>
      </rPr>
      <t xml:space="preserve">자루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펜촉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폴리에스터 섬유</t>
    </r>
  </si>
  <si>
    <r>
      <rPr>
        <sz val="10"/>
        <rFont val="Noto Sans CJK SC"/>
        <family val="2"/>
      </rPr>
      <t xml:space="preserve">중국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장쑤성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</si>
  <si>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1.2g (</t>
    </r>
    <r>
      <rPr>
        <sz val="10"/>
        <rFont val="Noto Sans CJK SC"/>
        <family val="2"/>
      </rPr>
      <t xml:space="preserve">펜촉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약 </t>
    </r>
    <r>
      <rPr>
        <sz val="10"/>
        <rFont val="맑은 고딕"/>
        <family val="0"/>
        <charset val="1"/>
      </rPr>
      <t xml:space="preserve">0.1g × 12</t>
    </r>
    <r>
      <rPr>
        <sz val="10"/>
        <rFont val="Noto Sans CJK SC"/>
        <family val="2"/>
      </rPr>
      <t xml:space="preserve">자루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</si>
  <si>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SunSirs: Polyester Staple Fiber Prices Fluctuated Upward in July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</si>
  <si>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근접일 </t>
    </r>
    <r>
      <rPr>
        <sz val="10"/>
        <rFont val="맑은 고딕"/>
        <family val="0"/>
        <charset val="1"/>
      </rPr>
      <t xml:space="preserve">(2026-07-30).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폴리에스터 단섬유</t>
    </r>
    <r>
      <rPr>
        <sz val="10"/>
        <rFont val="맑은 고딕"/>
        <family val="0"/>
        <charset val="1"/>
      </rPr>
      <t xml:space="preserve">(PSF) </t>
    </r>
    <r>
      <rPr>
        <sz val="10"/>
        <rFont val="Noto Sans CJK SC"/>
        <family val="2"/>
      </rPr>
      <t xml:space="preserve">중국</t>
    </r>
  </si>
  <si>
    <r>
      <rPr>
        <sz val="10"/>
        <rFont val="Noto Sans CJK SC"/>
        <family val="2"/>
      </rPr>
      <t xml:space="preserve">사인펜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상자</t>
    </r>
    <r>
      <rPr>
        <sz val="10"/>
        <rFont val="맑은 고딕"/>
        <family val="0"/>
        <charset val="1"/>
      </rPr>
      <t xml:space="preserve">(12</t>
    </r>
    <r>
      <rPr>
        <sz val="10"/>
        <rFont val="Noto Sans CJK SC"/>
        <family val="2"/>
      </rPr>
      <t xml:space="preserve">자루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잉크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카본블랙 안료</t>
    </r>
  </si>
  <si>
    <t xml:space="preserve">일본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</si>
  <si>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0.9g (</t>
    </r>
    <r>
      <rPr>
        <sz val="10"/>
        <rFont val="Noto Sans CJK SC"/>
        <family val="2"/>
      </rPr>
      <t xml:space="preserve">잉크 약 </t>
    </r>
    <r>
      <rPr>
        <sz val="10"/>
        <rFont val="맑은 고딕"/>
        <family val="0"/>
        <charset val="1"/>
      </rPr>
      <t xml:space="preserve">1.5g </t>
    </r>
    <r>
      <rPr>
        <sz val="10"/>
        <rFont val="Noto Sans CJK SC"/>
        <family val="2"/>
      </rPr>
      <t xml:space="preserve">중 카본블랙 </t>
    </r>
    <r>
      <rPr>
        <sz val="10"/>
        <rFont val="맑은 고딕"/>
        <family val="0"/>
        <charset val="1"/>
      </rPr>
      <t xml:space="preserve">5% × 12</t>
    </r>
    <r>
      <rPr>
        <sz val="10"/>
        <rFont val="Noto Sans CJK SC"/>
        <family val="2"/>
      </rPr>
      <t xml:space="preserve">자루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</si>
  <si>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0"/>
        <charset val="1"/>
      </rPr>
      <t xml:space="preserve">. 7</t>
    </r>
    <r>
      <rPr>
        <sz val="10"/>
        <rFont val="Noto Sans CJK SC"/>
        <family val="2"/>
      </rPr>
      <t xml:space="preserve">월 시세 미확인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중국 </t>
    </r>
    <r>
      <rPr>
        <sz val="10"/>
        <rFont val="맑은 고딕"/>
        <family val="0"/>
        <charset val="1"/>
      </rPr>
      <t xml:space="preserve">N220 </t>
    </r>
    <r>
      <rPr>
        <sz val="10"/>
        <rFont val="Noto Sans CJK SC"/>
        <family val="2"/>
      </rPr>
      <t xml:space="preserve">등급 </t>
    </r>
    <r>
      <rPr>
        <sz val="10"/>
        <rFont val="맑은 고딕"/>
        <family val="0"/>
        <charset val="1"/>
      </rPr>
      <t xml:space="preserve">8,320 CNY/t (2026-08-05, SunSirs 35048)</t>
    </r>
  </si>
  <si>
    <r>
      <rPr>
        <b val="true"/>
        <sz val="10"/>
        <rFont val="Noto Sans CJK SC"/>
        <family val="2"/>
      </rPr>
      <t xml:space="preserve">사인펜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상자</t>
    </r>
    <r>
      <rPr>
        <b val="true"/>
        <sz val="10"/>
        <rFont val="맑은 고딕"/>
        <family val="0"/>
        <charset val="1"/>
      </rPr>
      <t xml:space="preserve">(12</t>
    </r>
    <r>
      <rPr>
        <b val="true"/>
        <sz val="10"/>
        <rFont val="Noto Sans CJK SC"/>
        <family val="2"/>
      </rPr>
      <t xml:space="preserve">자루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원료 비용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조사값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</si>
  <si>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부가가치 학습자료의 원료 단계 금액 </t>
    </r>
    <r>
      <rPr>
        <b val="true"/>
        <sz val="10"/>
        <rFont val="맑은 고딕"/>
        <family val="0"/>
        <charset val="1"/>
      </rPr>
      <t xml:space="preserve">: 120</t>
    </r>
    <r>
      <rPr>
        <b val="true"/>
        <sz val="10"/>
        <rFont val="Noto Sans CJK SC"/>
        <family val="2"/>
      </rPr>
      <t xml:space="preserve">원</t>
    </r>
  </si>
  <si>
    <r>
      <rPr>
        <b val="true"/>
        <sz val="10"/>
        <rFont val="Noto Sans CJK SC"/>
        <family val="2"/>
      </rPr>
      <t xml:space="preserve">조사값 합계에 가격을 찾지 못한 잉크 재료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카본블랙 등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약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원을 더해 약 </t>
    </r>
    <r>
      <rPr>
        <b val="true"/>
        <sz val="10"/>
        <rFont val="맑은 고딕"/>
        <family val="0"/>
        <charset val="1"/>
      </rPr>
      <t xml:space="preserve">120</t>
    </r>
    <r>
      <rPr>
        <b val="true"/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</si>
  <si>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운동화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켤레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갑피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폴리에스터 원사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</si>
  <si>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60g (</t>
    </r>
    <r>
      <rPr>
        <sz val="10"/>
        <rFont val="Noto Sans CJK SC"/>
        <family val="2"/>
      </rPr>
      <t xml:space="preserve">한 켤레 갑피 메시 약 </t>
    </r>
    <r>
      <rPr>
        <sz val="10"/>
        <rFont val="맑은 고딕"/>
        <family val="0"/>
        <charset val="1"/>
      </rPr>
      <t xml:space="preserve">60g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</si>
  <si>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SunSirs: Textile Products Industries Bulk Commodity Intelligence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</si>
  <si>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근접일 </t>
    </r>
    <r>
      <rPr>
        <sz val="10"/>
        <rFont val="맑은 고딕"/>
        <family val="0"/>
        <charset val="1"/>
      </rPr>
      <t xml:space="preserve">(2026-07-27).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폴리에스터 장섬유</t>
    </r>
    <r>
      <rPr>
        <sz val="10"/>
        <rFont val="맑은 고딕"/>
        <family val="0"/>
        <charset val="1"/>
      </rPr>
      <t xml:space="preserve">(FDY 150D) </t>
    </r>
    <r>
      <rPr>
        <sz val="10"/>
        <rFont val="Noto Sans CJK SC"/>
        <family val="2"/>
      </rPr>
      <t xml:space="preserve">생산자 공시가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생산업체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룽성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의 공시가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시장 평균 아님</t>
    </r>
  </si>
  <si>
    <r>
      <rPr>
        <sz val="10"/>
        <rFont val="Noto Sans CJK SC"/>
        <family val="2"/>
      </rPr>
      <t xml:space="preserve">운동화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켤레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갑피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합성피혁</t>
    </r>
    <r>
      <rPr>
        <sz val="10"/>
        <rFont val="맑은 고딕"/>
        <family val="0"/>
        <charset val="1"/>
      </rPr>
      <t xml:space="preserve">(PU)</t>
    </r>
  </si>
  <si>
    <t xml:space="preserve">베트남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</si>
  <si>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40g (</t>
    </r>
    <r>
      <rPr>
        <sz val="10"/>
        <rFont val="Noto Sans CJK SC"/>
        <family val="2"/>
      </rPr>
      <t xml:space="preserve">한 켤레 합성피혁 약 </t>
    </r>
    <r>
      <rPr>
        <sz val="10"/>
        <rFont val="맑은 고딕"/>
        <family val="0"/>
        <charset val="1"/>
      </rPr>
      <t xml:space="preserve">40g</t>
    </r>
    <r>
      <rPr>
        <sz val="10"/>
        <rFont val="Noto Sans CJK SC"/>
        <family val="2"/>
      </rPr>
      <t xml:space="preserve">으로 가정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가격은 </t>
    </r>
    <r>
      <rPr>
        <sz val="10"/>
        <rFont val="맑은 고딕"/>
        <family val="0"/>
        <charset val="1"/>
      </rPr>
      <t xml:space="preserve">MDI</t>
    </r>
    <r>
      <rPr>
        <sz val="10"/>
        <rFont val="Noto Sans CJK SC"/>
        <family val="2"/>
      </rPr>
      <t xml:space="preserve">로 대신</t>
    </r>
    <r>
      <rPr>
        <sz val="10"/>
        <rFont val="맑은 고딕"/>
        <family val="0"/>
        <charset val="1"/>
      </rPr>
      <t xml:space="preserve">))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</si>
  <si>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10jqka 폴리우레탄 업종 기사 (iFinD 자료)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</si>
  <si>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대용 지표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MDI(</t>
    </r>
    <r>
      <rPr>
        <sz val="10"/>
        <rFont val="Noto Sans CJK SC"/>
        <family val="2"/>
      </rPr>
      <t xml:space="preserve">폴리우레탄 원료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중국 현물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합성피혁 시세가 없어 </t>
    </r>
    <r>
      <rPr>
        <sz val="10"/>
        <rFont val="맑은 고딕"/>
        <family val="0"/>
        <charset val="1"/>
      </rPr>
      <t xml:space="preserve">PU </t>
    </r>
    <r>
      <rPr>
        <sz val="10"/>
        <rFont val="Noto Sans CJK SC"/>
        <family val="2"/>
      </rPr>
      <t xml:space="preserve">원료 </t>
    </r>
    <r>
      <rPr>
        <sz val="10"/>
        <rFont val="맑은 고딕"/>
        <family val="0"/>
        <charset val="1"/>
      </rPr>
      <t xml:space="preserve">MDI</t>
    </r>
    <r>
      <rPr>
        <sz val="10"/>
        <rFont val="Noto Sans CJK SC"/>
        <family val="2"/>
      </rPr>
      <t xml:space="preserve">로 대신함</t>
    </r>
  </si>
  <si>
    <r>
      <rPr>
        <sz val="10"/>
        <rFont val="Noto Sans CJK SC"/>
        <family val="2"/>
      </rPr>
      <t xml:space="preserve">운동화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켤레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안감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폴리에스터 원단</t>
    </r>
  </si>
  <si>
    <t xml:space="preserve">대만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</si>
  <si>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30g (</t>
    </r>
    <r>
      <rPr>
        <sz val="10"/>
        <rFont val="Noto Sans CJK SC"/>
        <family val="2"/>
      </rPr>
      <t xml:space="preserve">한 켤레 안감 약 </t>
    </r>
    <r>
      <rPr>
        <sz val="10"/>
        <rFont val="맑은 고딕"/>
        <family val="0"/>
        <charset val="1"/>
      </rPr>
      <t xml:space="preserve">30g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</si>
  <si>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대용 지표 </t>
    </r>
    <r>
      <rPr>
        <sz val="10"/>
        <rFont val="맑은 고딕"/>
        <family val="0"/>
        <charset val="1"/>
      </rPr>
      <t xml:space="preserve">(2026-07-27).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폴리에스터 장섬유</t>
    </r>
    <r>
      <rPr>
        <sz val="10"/>
        <rFont val="맑은 고딕"/>
        <family val="0"/>
        <charset val="1"/>
      </rPr>
      <t xml:space="preserve">(FDY 75D) </t>
    </r>
    <r>
      <rPr>
        <sz val="10"/>
        <rFont val="Noto Sans CJK SC"/>
        <family val="2"/>
      </rPr>
      <t xml:space="preserve">생산자 공시가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원단 대신 원사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가격</t>
    </r>
  </si>
  <si>
    <r>
      <rPr>
        <sz val="10"/>
        <rFont val="Noto Sans CJK SC"/>
        <family val="2"/>
      </rPr>
      <t xml:space="preserve">운동화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켤레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깔창 </t>
    </r>
    <r>
      <rPr>
        <sz val="10"/>
        <rFont val="맑은 고딕"/>
        <family val="0"/>
        <charset val="1"/>
      </rPr>
      <t xml:space="preserve">: EVA </t>
    </r>
    <r>
      <rPr>
        <sz val="10"/>
        <rFont val="Noto Sans CJK SC"/>
        <family val="2"/>
      </rPr>
      <t xml:space="preserve">수지</t>
    </r>
  </si>
  <si>
    <t xml:space="preserve">대한민국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</si>
  <si>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100g (</t>
    </r>
    <r>
      <rPr>
        <sz val="10"/>
        <rFont val="Noto Sans CJK SC"/>
        <family val="2"/>
      </rPr>
      <t xml:space="preserve">한 켤레 깔창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중창 </t>
    </r>
    <r>
      <rPr>
        <sz val="10"/>
        <rFont val="맑은 고딕"/>
        <family val="0"/>
        <charset val="1"/>
      </rPr>
      <t xml:space="preserve">EVA </t>
    </r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100g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</si>
  <si>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SunSirs: China Domestic EVA Market Sees Slight Rise Since Mid-July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</si>
  <si>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근접일 </t>
    </r>
    <r>
      <rPr>
        <sz val="10"/>
        <rFont val="맑은 고딕"/>
        <family val="0"/>
        <charset val="1"/>
      </rPr>
      <t xml:space="preserve">(2026-07-23).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EVA </t>
    </r>
    <r>
      <rPr>
        <sz val="10"/>
        <rFont val="Noto Sans CJK SC"/>
        <family val="2"/>
      </rPr>
      <t xml:space="preserve">중국 내수 가격</t>
    </r>
    <r>
      <rPr>
        <sz val="10"/>
        <rFont val="맑은 고딕"/>
        <family val="0"/>
        <charset val="1"/>
      </rPr>
      <t xml:space="preserve">. 7</t>
    </r>
    <r>
      <rPr>
        <sz val="10"/>
        <rFont val="Noto Sans CJK SC"/>
        <family val="2"/>
      </rPr>
      <t xml:space="preserve">월 말 가격은 공개되지 않음</t>
    </r>
  </si>
  <si>
    <r>
      <rPr>
        <sz val="10"/>
        <rFont val="Noto Sans CJK SC"/>
        <family val="2"/>
      </rPr>
      <t xml:space="preserve">운동화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켤레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밑창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천연고무</t>
    </r>
  </si>
  <si>
    <t xml:space="preserve">태국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</si>
  <si>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45g (</t>
    </r>
    <r>
      <rPr>
        <sz val="10"/>
        <rFont val="Noto Sans CJK SC"/>
        <family val="2"/>
      </rPr>
      <t xml:space="preserve">밑창 고무 약 </t>
    </r>
    <r>
      <rPr>
        <sz val="10"/>
        <rFont val="맑은 고딕"/>
        <family val="0"/>
        <charset val="1"/>
      </rPr>
      <t xml:space="preserve">150g × </t>
    </r>
    <r>
      <rPr>
        <sz val="10"/>
        <rFont val="Noto Sans CJK SC"/>
        <family val="2"/>
      </rPr>
      <t xml:space="preserve">천연고무 </t>
    </r>
    <r>
      <rPr>
        <sz val="10"/>
        <rFont val="맑은 고딕"/>
        <family val="0"/>
        <charset val="1"/>
      </rPr>
      <t xml:space="preserve">30%)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</si>
  <si>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瑞达期货 고무 일일 보고서 (2026-07-30)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</si>
  <si>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근접일 </t>
    </r>
    <r>
      <rPr>
        <sz val="10"/>
        <rFont val="맑은 고딕"/>
        <family val="0"/>
        <charset val="1"/>
      </rPr>
      <t xml:space="preserve">(2026-07-30).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태국 </t>
    </r>
    <r>
      <rPr>
        <sz val="10"/>
        <rFont val="맑은 고딕"/>
        <family val="0"/>
        <charset val="1"/>
      </rPr>
      <t xml:space="preserve">STR20 </t>
    </r>
    <r>
      <rPr>
        <sz val="10"/>
        <rFont val="Noto Sans CJK SC"/>
        <family val="2"/>
      </rPr>
      <t xml:space="preserve">현물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세계은행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(TSR20)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2.14 USD/kg</t>
    </r>
  </si>
  <si>
    <r>
      <rPr>
        <sz val="10"/>
        <rFont val="Noto Sans CJK SC"/>
        <family val="2"/>
      </rPr>
      <t xml:space="preserve">운동화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켤레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밑창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합성고무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</si>
  <si>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105g (</t>
    </r>
    <r>
      <rPr>
        <sz val="10"/>
        <rFont val="Noto Sans CJK SC"/>
        <family val="2"/>
      </rPr>
      <t xml:space="preserve">밑창 고무 약 </t>
    </r>
    <r>
      <rPr>
        <sz val="10"/>
        <rFont val="맑은 고딕"/>
        <family val="0"/>
        <charset val="1"/>
      </rPr>
      <t xml:space="preserve">150g × </t>
    </r>
    <r>
      <rPr>
        <sz val="10"/>
        <rFont val="Noto Sans CJK SC"/>
        <family val="2"/>
      </rPr>
      <t xml:space="preserve">합성고무 </t>
    </r>
    <r>
      <rPr>
        <sz val="10"/>
        <rFont val="맑은 고딕"/>
        <family val="0"/>
        <charset val="1"/>
      </rPr>
      <t xml:space="preserve">70%)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</si>
  <si>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근접일 </t>
    </r>
    <r>
      <rPr>
        <sz val="10"/>
        <rFont val="맑은 고딕"/>
        <family val="0"/>
        <charset val="1"/>
      </rPr>
      <t xml:space="preserve">(2026-07-30).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SBR1502 (</t>
    </r>
    <r>
      <rPr>
        <sz val="10"/>
        <rFont val="Noto Sans CJK SC"/>
        <family val="2"/>
      </rPr>
      <t xml:space="preserve">중국 치루석화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</si>
  <si>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운동화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켤레 원료 비용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조사값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</si>
  <si>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부가가치 학습자료의 원료 단계 금액 </t>
    </r>
    <r>
      <rPr>
        <b val="true"/>
        <sz val="10"/>
        <rFont val="맑은 고딕"/>
        <family val="0"/>
        <charset val="1"/>
      </rPr>
      <t xml:space="preserve">: 1,000</t>
    </r>
    <r>
      <rPr>
        <b val="true"/>
        <sz val="10"/>
        <rFont val="Noto Sans CJK SC"/>
        <family val="2"/>
      </rPr>
      <t xml:space="preserve">원</t>
    </r>
  </si>
  <si>
    <r>
      <rPr>
        <b val="true"/>
        <sz val="10"/>
        <rFont val="Noto Sans CJK SC"/>
        <family val="2"/>
      </rPr>
      <t xml:space="preserve">조사값 합계를 반올림해 약 </t>
    </r>
    <r>
      <rPr>
        <b val="true"/>
        <sz val="10"/>
        <rFont val="맑은 고딕"/>
        <family val="0"/>
        <charset val="1"/>
      </rPr>
      <t xml:space="preserve">1,000</t>
    </r>
    <r>
      <rPr>
        <b val="true"/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</si>
  <si>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후드 집업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면 </t>
    </r>
    <r>
      <rPr>
        <sz val="10"/>
        <rFont val="맑은 고딕"/>
        <family val="0"/>
        <charset val="1"/>
      </rPr>
      <t xml:space="preserve">(80%) : </t>
    </r>
    <r>
      <rPr>
        <sz val="10"/>
        <rFont val="Noto Sans CJK SC"/>
        <family val="2"/>
      </rPr>
      <t xml:space="preserve">면화</t>
    </r>
  </si>
  <si>
    <r>
      <rPr>
        <sz val="10"/>
        <rFont val="Noto Sans CJK SC"/>
        <family val="2"/>
      </rPr>
      <t xml:space="preserve">미국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텍사스주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</si>
  <si>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480g (</t>
    </r>
    <r>
      <rPr>
        <sz val="10"/>
        <rFont val="Noto Sans CJK SC"/>
        <family val="2"/>
      </rPr>
      <t xml:space="preserve">후드 집업</t>
    </r>
    <r>
      <rPr>
        <sz val="10"/>
        <rFont val="맑은 고딕"/>
        <family val="0"/>
        <charset val="1"/>
      </rPr>
      <t xml:space="preserve">(95, M) </t>
    </r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600g × </t>
    </r>
    <r>
      <rPr>
        <sz val="10"/>
        <rFont val="Noto Sans CJK SC"/>
        <family val="2"/>
      </rPr>
      <t xml:space="preserve">면 </t>
    </r>
    <r>
      <rPr>
        <sz val="10"/>
        <rFont val="맑은 고딕"/>
        <family val="0"/>
        <charset val="1"/>
      </rPr>
      <t xml:space="preserve">80%)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</si>
  <si>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평균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면화 </t>
    </r>
    <r>
      <rPr>
        <sz val="10"/>
        <rFont val="맑은 고딕"/>
        <family val="0"/>
        <charset val="1"/>
      </rPr>
      <t xml:space="preserve">Cotlook A </t>
    </r>
    <r>
      <rPr>
        <sz val="10"/>
        <rFont val="Noto Sans CJK SC"/>
        <family val="2"/>
      </rPr>
      <t xml:space="preserve">지수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세계은행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</si>
  <si>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후드 집업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폴리에스터 </t>
    </r>
    <r>
      <rPr>
        <sz val="10"/>
        <rFont val="맑은 고딕"/>
        <family val="0"/>
        <charset val="1"/>
      </rPr>
      <t xml:space="preserve">(20%) : </t>
    </r>
    <r>
      <rPr>
        <sz val="10"/>
        <rFont val="Noto Sans CJK SC"/>
        <family val="2"/>
      </rPr>
      <t xml:space="preserve">원사</t>
    </r>
  </si>
  <si>
    <r>
      <rPr>
        <sz val="10"/>
        <rFont val="Noto Sans CJK SC"/>
        <family val="2"/>
      </rPr>
      <t xml:space="preserve">중국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저장성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</si>
  <si>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120g (</t>
    </r>
    <r>
      <rPr>
        <sz val="10"/>
        <rFont val="Noto Sans CJK SC"/>
        <family val="2"/>
      </rPr>
      <t xml:space="preserve">후드 집업 약 </t>
    </r>
    <r>
      <rPr>
        <sz val="10"/>
        <rFont val="맑은 고딕"/>
        <family val="0"/>
        <charset val="1"/>
      </rPr>
      <t xml:space="preserve">600g × </t>
    </r>
    <r>
      <rPr>
        <sz val="10"/>
        <rFont val="Noto Sans CJK SC"/>
        <family val="2"/>
      </rPr>
      <t xml:space="preserve">폴리에스터 </t>
    </r>
    <r>
      <rPr>
        <sz val="10"/>
        <rFont val="맑은 고딕"/>
        <family val="0"/>
        <charset val="1"/>
      </rPr>
      <t xml:space="preserve">20%)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</si>
  <si>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근접일 </t>
    </r>
    <r>
      <rPr>
        <sz val="10"/>
        <rFont val="맑은 고딕"/>
        <family val="0"/>
        <charset val="1"/>
      </rPr>
      <t xml:space="preserve">(2026-07-30).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폴리에스터 단섬유</t>
    </r>
    <r>
      <rPr>
        <sz val="10"/>
        <rFont val="맑은 고딕"/>
        <family val="0"/>
        <charset val="1"/>
      </rPr>
      <t xml:space="preserve">(PSF) </t>
    </r>
    <r>
      <rPr>
        <sz val="10"/>
        <rFont val="Noto Sans CJK SC"/>
        <family val="2"/>
      </rPr>
      <t xml:space="preserve">중국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면과 섞는 실은 주로 단섬유</t>
    </r>
  </si>
  <si>
    <r>
      <rPr>
        <b val="true"/>
        <sz val="10"/>
        <rFont val="Noto Sans CJK SC"/>
        <family val="2"/>
      </rPr>
      <t xml:space="preserve">후드 집업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벌 원료 비용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조사값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</si>
  <si>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부가가치 학습자료의 원료 단계 금액 </t>
    </r>
    <r>
      <rPr>
        <b val="true"/>
        <sz val="10"/>
        <rFont val="맑은 고딕"/>
        <family val="0"/>
        <charset val="1"/>
      </rPr>
      <t xml:space="preserve">: 1,500</t>
    </r>
    <r>
      <rPr>
        <b val="true"/>
        <sz val="10"/>
        <rFont val="Noto Sans CJK SC"/>
        <family val="2"/>
      </rPr>
      <t xml:space="preserve">원</t>
    </r>
  </si>
  <si>
    <r>
      <rPr>
        <b val="true"/>
        <sz val="10"/>
        <rFont val="Noto Sans CJK SC"/>
        <family val="2"/>
      </rPr>
      <t xml:space="preserve">조사값 합계를 반올림해 약 </t>
    </r>
    <r>
      <rPr>
        <b val="true"/>
        <sz val="10"/>
        <rFont val="맑은 고딕"/>
        <family val="0"/>
        <charset val="1"/>
      </rPr>
      <t xml:space="preserve">1,500</t>
    </r>
    <r>
      <rPr>
        <b val="true"/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</si>
  <si>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배터리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리튬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탄산리튬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</si>
  <si>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호주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칠레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</si>
  <si>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1.3g (</t>
    </r>
    <r>
      <rPr>
        <sz val="10"/>
        <rFont val="Noto Sans CJK SC"/>
        <family val="2"/>
      </rPr>
      <t xml:space="preserve">배터리 약 </t>
    </r>
    <r>
      <rPr>
        <sz val="10"/>
        <rFont val="맑은 고딕"/>
        <family val="0"/>
        <charset val="1"/>
      </rPr>
      <t xml:space="preserve">1.85Wh(500mAh·3.7V), 1kWh</t>
    </r>
    <r>
      <rPr>
        <sz val="10"/>
        <rFont val="Noto Sans CJK SC"/>
        <family val="2"/>
      </rPr>
      <t xml:space="preserve">당 탄산리튬 약 </t>
    </r>
    <r>
      <rPr>
        <sz val="10"/>
        <rFont val="맑은 고딕"/>
        <family val="0"/>
        <charset val="1"/>
      </rPr>
      <t xml:space="preserve">0.7kg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</si>
  <si>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CME Battery Metals Market Update (2026-07-31)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</si>
  <si>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탄산리튬 배터리급 중국 현물</t>
    </r>
    <r>
      <rPr>
        <sz val="10"/>
        <rFont val="맑은 고딕"/>
        <family val="0"/>
        <charset val="1"/>
      </rPr>
      <t xml:space="preserve">. Mysteel </t>
    </r>
    <r>
      <rPr>
        <sz val="10"/>
        <rFont val="Noto Sans CJK SC"/>
        <family val="2"/>
      </rPr>
      <t xml:space="preserve">자료를 </t>
    </r>
    <r>
      <rPr>
        <sz val="10"/>
        <rFont val="맑은 고딕"/>
        <family val="0"/>
        <charset val="1"/>
      </rPr>
      <t xml:space="preserve">CME</t>
    </r>
    <r>
      <rPr>
        <sz val="10"/>
        <rFont val="Noto Sans CJK SC"/>
        <family val="2"/>
      </rPr>
      <t xml:space="preserve">가 인용</t>
    </r>
    <r>
      <rPr>
        <sz val="10"/>
        <rFont val="맑은 고딕"/>
        <family val="0"/>
        <charset val="1"/>
      </rPr>
      <t xml:space="preserve">. SMM </t>
    </r>
    <r>
      <rPr>
        <sz val="10"/>
        <rFont val="Noto Sans CJK SC"/>
        <family val="2"/>
      </rPr>
      <t xml:space="preserve">현물은 </t>
    </r>
    <r>
      <rPr>
        <sz val="10"/>
        <rFont val="맑은 고딕"/>
        <family val="0"/>
        <charset val="1"/>
      </rPr>
      <t xml:space="preserve">140,000 CNY/t</t>
    </r>
  </si>
  <si>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배터리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코발트</t>
    </r>
  </si>
  <si>
    <t xml:space="preserve">콩고민주공화국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</si>
  <si>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1.8g (</t>
    </r>
    <r>
      <rPr>
        <sz val="10"/>
        <rFont val="Noto Sans CJK SC"/>
        <family val="2"/>
      </rPr>
      <t xml:space="preserve">배터리 약 </t>
    </r>
    <r>
      <rPr>
        <sz val="10"/>
        <rFont val="맑은 고딕"/>
        <family val="0"/>
        <charset val="1"/>
      </rPr>
      <t xml:space="preserve">1.85Wh, 1kWh</t>
    </r>
    <r>
      <rPr>
        <sz val="10"/>
        <rFont val="Noto Sans CJK SC"/>
        <family val="2"/>
      </rPr>
      <t xml:space="preserve">당 코발트 약 </t>
    </r>
    <r>
      <rPr>
        <sz val="10"/>
        <rFont val="맑은 고딕"/>
        <family val="0"/>
        <charset val="1"/>
      </rPr>
      <t xml:space="preserve">1kg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</si>
  <si>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코발트 표준등급 로테르담 </t>
    </r>
    <r>
      <rPr>
        <sz val="10"/>
        <rFont val="맑은 고딕"/>
        <family val="0"/>
        <charset val="1"/>
      </rPr>
      <t xml:space="preserve">(Fastmarkets). 1</t>
    </r>
    <r>
      <rPr>
        <sz val="10"/>
        <rFont val="Noto Sans CJK SC"/>
        <family val="2"/>
      </rPr>
      <t xml:space="preserve">파운드 </t>
    </r>
    <r>
      <rPr>
        <sz val="10"/>
        <rFont val="맑은 고딕"/>
        <family val="0"/>
        <charset val="1"/>
      </rPr>
      <t xml:space="preserve">= 0.4536kg</t>
    </r>
    <r>
      <rPr>
        <sz val="10"/>
        <rFont val="Noto Sans CJK SC"/>
        <family val="2"/>
      </rPr>
      <t xml:space="preserve">으로 환산</t>
    </r>
  </si>
  <si>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배터리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니켈</t>
    </r>
  </si>
  <si>
    <t xml:space="preserve">인도네시아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</si>
  <si>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0.5g (</t>
    </r>
    <r>
      <rPr>
        <sz val="10"/>
        <rFont val="Noto Sans CJK SC"/>
        <family val="2"/>
      </rPr>
      <t xml:space="preserve">전지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도금 부품의 니켈 약 </t>
    </r>
    <r>
      <rPr>
        <sz val="10"/>
        <rFont val="맑은 고딕"/>
        <family val="0"/>
        <charset val="1"/>
      </rPr>
      <t xml:space="preserve">0.5g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</si>
  <si>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Westmetall LME 니켈 현물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</si>
  <si>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LME </t>
    </r>
    <r>
      <rPr>
        <sz val="10"/>
        <rFont val="Noto Sans CJK SC"/>
        <family val="2"/>
      </rPr>
      <t xml:space="preserve">니켈 현물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세계은행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평균은 </t>
    </r>
    <r>
      <rPr>
        <sz val="10"/>
        <rFont val="맑은 고딕"/>
        <family val="0"/>
        <charset val="1"/>
      </rPr>
      <t xml:space="preserve">16,651 USD/t</t>
    </r>
  </si>
  <si>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배터리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흑연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음극재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</si>
  <si>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1.85g (</t>
    </r>
    <r>
      <rPr>
        <sz val="10"/>
        <rFont val="Noto Sans CJK SC"/>
        <family val="2"/>
      </rPr>
      <t xml:space="preserve">배터리 약 </t>
    </r>
    <r>
      <rPr>
        <sz val="10"/>
        <rFont val="맑은 고딕"/>
        <family val="0"/>
        <charset val="1"/>
      </rPr>
      <t xml:space="preserve">1.85Wh, 1kWh</t>
    </r>
    <r>
      <rPr>
        <sz val="10"/>
        <rFont val="Noto Sans CJK SC"/>
        <family val="2"/>
      </rPr>
      <t xml:space="preserve">당 흑연 약 </t>
    </r>
    <r>
      <rPr>
        <sz val="10"/>
        <rFont val="맑은 고딕"/>
        <family val="0"/>
        <charset val="1"/>
      </rPr>
      <t xml:space="preserve">1kg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</si>
  <si>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공개된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시세를 찾지 못함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유료 자료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</si>
  <si>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외장 </t>
    </r>
    <r>
      <rPr>
        <sz val="10"/>
        <rFont val="맑은 고딕"/>
        <family val="0"/>
        <charset val="1"/>
      </rPr>
      <t xml:space="preserve">: ABS </t>
    </r>
    <r>
      <rPr>
        <sz val="10"/>
        <rFont val="Noto Sans CJK SC"/>
        <family val="2"/>
      </rPr>
      <t xml:space="preserve">수지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</si>
  <si>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10g (</t>
    </r>
    <r>
      <rPr>
        <sz val="10"/>
        <rFont val="Noto Sans CJK SC"/>
        <family val="2"/>
      </rPr>
      <t xml:space="preserve">충전 케이스 외장 약 </t>
    </r>
    <r>
      <rPr>
        <sz val="10"/>
        <rFont val="맑은 고딕"/>
        <family val="0"/>
        <charset val="1"/>
      </rPr>
      <t xml:space="preserve">10g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</si>
  <si>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SunSirs: China ABS Prices Consolidate After July Rise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</si>
  <si>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ABS </t>
    </r>
    <r>
      <rPr>
        <sz val="10"/>
        <rFont val="Noto Sans CJK SC"/>
        <family val="2"/>
      </rPr>
      <t xml:space="preserve">중국 현물 기준가</t>
    </r>
  </si>
  <si>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· ABS </t>
    </r>
    <r>
      <rPr>
        <sz val="10"/>
        <rFont val="Noto Sans CJK SC"/>
        <family val="2"/>
      </rPr>
      <t xml:space="preserve">원료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원유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</si>
  <si>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20g (</t>
    </r>
    <r>
      <rPr>
        <sz val="10"/>
        <rFont val="Noto Sans CJK SC"/>
        <family val="2"/>
      </rPr>
      <t xml:space="preserve">플라스틱 </t>
    </r>
    <r>
      <rPr>
        <sz val="10"/>
        <rFont val="맑은 고딕"/>
        <family val="0"/>
        <charset val="1"/>
      </rPr>
      <t xml:space="preserve">1kg</t>
    </r>
    <r>
      <rPr>
        <sz val="10"/>
        <rFont val="Noto Sans CJK SC"/>
        <family val="2"/>
      </rPr>
      <t xml:space="preserve">에 원유 약 </t>
    </r>
    <r>
      <rPr>
        <sz val="10"/>
        <rFont val="맑은 고딕"/>
        <family val="0"/>
        <charset val="1"/>
      </rPr>
      <t xml:space="preserve">2kg </t>
    </r>
    <r>
      <rPr>
        <sz val="10"/>
        <rFont val="Noto Sans CJK SC"/>
        <family val="2"/>
      </rPr>
      <t xml:space="preserve">가정 → </t>
    </r>
    <r>
      <rPr>
        <sz val="10"/>
        <rFont val="맑은 고딕"/>
        <family val="0"/>
        <charset val="1"/>
      </rPr>
      <t xml:space="preserve">10g × 2)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 · </t>
    </r>
    <r>
      <rPr>
        <sz val="10"/>
        <rFont val="Noto Sans CJK SC"/>
        <family val="2"/>
      </rPr>
      <t xml:space="preserve">수지 가격에 이미 들어 있어 합계에서 제외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</si>
  <si>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Brent </t>
    </r>
    <r>
      <rPr>
        <sz val="10"/>
        <rFont val="Noto Sans CJK SC"/>
        <family val="2"/>
      </rPr>
      <t xml:space="preserve">원유 현물 </t>
    </r>
    <r>
      <rPr>
        <sz val="10"/>
        <rFont val="맑은 고딕"/>
        <family val="0"/>
        <charset val="1"/>
      </rPr>
      <t xml:space="preserve">(EIA)</t>
    </r>
  </si>
  <si>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외장 </t>
    </r>
    <r>
      <rPr>
        <sz val="10"/>
        <rFont val="맑은 고딕"/>
        <family val="0"/>
        <charset val="1"/>
      </rPr>
      <t xml:space="preserve">: PC </t>
    </r>
    <r>
      <rPr>
        <sz val="10"/>
        <rFont val="Noto Sans CJK SC"/>
        <family val="2"/>
      </rPr>
      <t xml:space="preserve">수지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</si>
  <si>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8g (</t>
    </r>
    <r>
      <rPr>
        <sz val="10"/>
        <rFont val="Noto Sans CJK SC"/>
        <family val="2"/>
      </rPr>
      <t xml:space="preserve">이어버드 외장 약 </t>
    </r>
    <r>
      <rPr>
        <sz val="10"/>
        <rFont val="맑은 고딕"/>
        <family val="0"/>
        <charset val="1"/>
      </rPr>
      <t xml:space="preserve">8g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</si>
  <si>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SunSirs: China PC Prices Fell Then Rose in July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</si>
  <si>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(2026-07-31).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PC </t>
    </r>
    <r>
      <rPr>
        <sz val="10"/>
        <rFont val="Noto Sans CJK SC"/>
        <family val="2"/>
      </rPr>
      <t xml:space="preserve">중국 현물 기준가</t>
    </r>
  </si>
  <si>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· PC </t>
    </r>
    <r>
      <rPr>
        <sz val="10"/>
        <rFont val="Noto Sans CJK SC"/>
        <family val="2"/>
      </rPr>
      <t xml:space="preserve">원료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원유</t>
    </r>
  </si>
  <si>
    <t xml:space="preserve">아랍에미리트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</si>
  <si>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16g (</t>
    </r>
    <r>
      <rPr>
        <sz val="10"/>
        <rFont val="Noto Sans CJK SC"/>
        <family val="2"/>
      </rPr>
      <t xml:space="preserve">플라스틱 </t>
    </r>
    <r>
      <rPr>
        <sz val="10"/>
        <rFont val="맑은 고딕"/>
        <family val="0"/>
        <charset val="1"/>
      </rPr>
      <t xml:space="preserve">1kg</t>
    </r>
    <r>
      <rPr>
        <sz val="10"/>
        <rFont val="Noto Sans CJK SC"/>
        <family val="2"/>
      </rPr>
      <t xml:space="preserve">에 원유 약 </t>
    </r>
    <r>
      <rPr>
        <sz val="10"/>
        <rFont val="맑은 고딕"/>
        <family val="0"/>
        <charset val="1"/>
      </rPr>
      <t xml:space="preserve">2kg </t>
    </r>
    <r>
      <rPr>
        <sz val="10"/>
        <rFont val="Noto Sans CJK SC"/>
        <family val="2"/>
      </rPr>
      <t xml:space="preserve">가정 → </t>
    </r>
    <r>
      <rPr>
        <sz val="10"/>
        <rFont val="맑은 고딕"/>
        <family val="0"/>
        <charset val="1"/>
      </rPr>
      <t xml:space="preserve">8g × 2)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 · </t>
    </r>
    <r>
      <rPr>
        <sz val="10"/>
        <rFont val="Noto Sans CJK SC"/>
        <family val="2"/>
      </rPr>
      <t xml:space="preserve">수지 가격에 이미 들어 있어 합계에서 제외</t>
    </r>
  </si>
  <si>
    <r>
      <rPr>
        <sz val="10"/>
        <rFont val="Noto Sans CJK SC"/>
        <family val="2"/>
      </rPr>
      <t xml:space="preserve">무선 이어폰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이어팁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실리콘</t>
    </r>
  </si>
  <si>
    <r>
      <rPr>
        <sz val="10"/>
        <rFont val="Noto Sans CJK SC"/>
        <family val="2"/>
      </rPr>
      <t xml:space="preserve">중국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둥관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</si>
  <si>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2g (</t>
    </r>
    <r>
      <rPr>
        <sz val="10"/>
        <rFont val="Noto Sans CJK SC"/>
        <family val="2"/>
      </rPr>
      <t xml:space="preserve">이어팁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쌍 약 </t>
    </r>
    <r>
      <rPr>
        <sz val="10"/>
        <rFont val="맑은 고딕"/>
        <family val="0"/>
        <charset val="1"/>
      </rPr>
      <t xml:space="preserve">2g</t>
    </r>
    <r>
      <rPr>
        <sz val="10"/>
        <rFont val="Noto Sans CJK SC"/>
        <family val="2"/>
      </rPr>
      <t xml:space="preserve">으로 가정</t>
    </r>
    <r>
      <rPr>
        <sz val="10"/>
        <rFont val="맑은 고딕"/>
        <family val="0"/>
        <charset val="1"/>
      </rPr>
      <t xml:space="preserve">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</si>
  <si>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SMM Silicone Weekly Review (주간, 7/30까지)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</si>
  <si>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근접일 </t>
    </r>
    <r>
      <rPr>
        <sz val="10"/>
        <rFont val="맑은 고딕"/>
        <family val="0"/>
        <charset val="1"/>
      </rPr>
      <t xml:space="preserve">(2026-07-30</t>
    </r>
    <r>
      <rPr>
        <sz val="10"/>
        <rFont val="Noto Sans CJK SC"/>
        <family val="2"/>
      </rPr>
      <t xml:space="preserve">까지 주간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실리콘 원료 </t>
    </r>
    <r>
      <rPr>
        <sz val="10"/>
        <rFont val="맑은 고딕"/>
        <family val="0"/>
        <charset val="1"/>
      </rPr>
      <t xml:space="preserve">DMC </t>
    </r>
    <r>
      <rPr>
        <sz val="10"/>
        <rFont val="Noto Sans CJK SC"/>
        <family val="2"/>
      </rPr>
      <t xml:space="preserve">중국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중간값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범위 </t>
    </r>
    <r>
      <rPr>
        <sz val="10"/>
        <rFont val="맑은 고딕"/>
        <family val="0"/>
        <charset val="1"/>
      </rPr>
      <t xml:space="preserve">12,500~12,800 CNY/t</t>
    </r>
    <r>
      <rPr>
        <sz val="10"/>
        <rFont val="Noto Sans CJK SC"/>
        <family val="2"/>
      </rPr>
      <t xml:space="preserve">의 중간값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완성 실리콘 고무가 아닌 원료 가격</t>
    </r>
  </si>
  <si>
    <r>
      <rPr>
        <b val="true"/>
        <sz val="10"/>
        <rFont val="Noto Sans CJK SC"/>
        <family val="2"/>
      </rPr>
      <t xml:space="preserve">무선 이어폰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세트 원료 비용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조사값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</si>
  <si>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부가가치 학습자료의 원료 단계 금액 </t>
    </r>
    <r>
      <rPr>
        <b val="true"/>
        <sz val="10"/>
        <rFont val="맑은 고딕"/>
        <family val="0"/>
        <charset val="1"/>
      </rPr>
      <t xml:space="preserve">: 300</t>
    </r>
    <r>
      <rPr>
        <b val="true"/>
        <sz val="10"/>
        <rFont val="Noto Sans CJK SC"/>
        <family val="2"/>
      </rPr>
      <t xml:space="preserve">원</t>
    </r>
  </si>
  <si>
    <r>
      <rPr>
        <b val="true"/>
        <sz val="10"/>
        <rFont val="Noto Sans CJK SC"/>
        <family val="2"/>
      </rPr>
      <t xml:space="preserve">조사값 합계에 가격을 찾지 못한 흑연 등을 더해 약 </t>
    </r>
    <r>
      <rPr>
        <b val="true"/>
        <sz val="10"/>
        <rFont val="맑은 고딕"/>
        <family val="0"/>
        <charset val="1"/>
      </rPr>
      <t xml:space="preserve">300</t>
    </r>
    <r>
      <rPr>
        <b val="true"/>
        <sz val="10"/>
        <rFont val="Noto Sans CJK SC"/>
        <family val="2"/>
      </rPr>
      <t xml:space="preserve">원으로 추정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</si>
  <si>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밀가루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밀</t>
    </r>
  </si>
  <si>
    <r>
      <rPr>
        <sz val="10"/>
        <rFont val="Noto Sans CJK SC"/>
        <family val="2"/>
      </rPr>
      <t xml:space="preserve">미국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호주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</si>
  <si>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63g (</t>
    </r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 </t>
    </r>
    <r>
      <rPr>
        <sz val="10"/>
        <rFont val="맑은 고딕"/>
        <family val="0"/>
        <charset val="1"/>
      </rPr>
      <t xml:space="preserve">180g × </t>
    </r>
    <r>
      <rPr>
        <sz val="10"/>
        <rFont val="Noto Sans CJK SC"/>
        <family val="2"/>
      </rPr>
      <t xml:space="preserve">밀가루 약 </t>
    </r>
    <r>
      <rPr>
        <sz val="10"/>
        <rFont val="맑은 고딕"/>
        <family val="0"/>
        <charset val="1"/>
      </rPr>
      <t xml:space="preserve">35%)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</si>
  <si>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평균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미국 경질적색겨울밀</t>
    </r>
    <r>
      <rPr>
        <sz val="10"/>
        <rFont val="맑은 고딕"/>
        <family val="0"/>
        <charset val="1"/>
      </rPr>
      <t xml:space="preserve">(HRW) (</t>
    </r>
    <r>
      <rPr>
        <sz val="10"/>
        <rFont val="Noto Sans CJK SC"/>
        <family val="2"/>
      </rPr>
      <t xml:space="preserve">세계은행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</si>
  <si>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코코아매스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카카오</t>
    </r>
  </si>
  <si>
    <t xml:space="preserve">가나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</si>
  <si>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14.4g (</t>
    </r>
    <r>
      <rPr>
        <sz val="10"/>
        <rFont val="Noto Sans CJK SC"/>
        <family val="2"/>
      </rPr>
      <t xml:space="preserve">초콜릿칩 </t>
    </r>
    <r>
      <rPr>
        <sz val="10"/>
        <rFont val="맑은 고딕"/>
        <family val="0"/>
        <charset val="1"/>
      </rPr>
      <t xml:space="preserve">36g × </t>
    </r>
    <r>
      <rPr>
        <sz val="10"/>
        <rFont val="Noto Sans CJK SC"/>
        <family val="2"/>
      </rPr>
      <t xml:space="preserve">코코아매스 약 </t>
    </r>
    <r>
      <rPr>
        <sz val="10"/>
        <rFont val="맑은 고딕"/>
        <family val="0"/>
        <charset val="1"/>
      </rPr>
      <t xml:space="preserve">40%)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</si>
  <si>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평균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코코아 원두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세계은행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원두 가격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</si>
  <si>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코코아버터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카카오</t>
    </r>
  </si>
  <si>
    <t xml:space="preserve">코트디부아르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</si>
  <si>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5.4g (</t>
    </r>
    <r>
      <rPr>
        <sz val="10"/>
        <rFont val="Noto Sans CJK SC"/>
        <family val="2"/>
      </rPr>
      <t xml:space="preserve">초콜릿칩 </t>
    </r>
    <r>
      <rPr>
        <sz val="10"/>
        <rFont val="맑은 고딕"/>
        <family val="0"/>
        <charset val="1"/>
      </rPr>
      <t xml:space="preserve">36g × </t>
    </r>
    <r>
      <rPr>
        <sz val="10"/>
        <rFont val="Noto Sans CJK SC"/>
        <family val="2"/>
      </rPr>
      <t xml:space="preserve">코코아버터 약 </t>
    </r>
    <r>
      <rPr>
        <sz val="10"/>
        <rFont val="맑은 고딕"/>
        <family val="0"/>
        <charset val="1"/>
      </rPr>
      <t xml:space="preserve">15%)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</si>
  <si>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코코아분말</t>
    </r>
  </si>
  <si>
    <t xml:space="preserve">네덜란드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</si>
  <si>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5.4g (</t>
    </r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 </t>
    </r>
    <r>
      <rPr>
        <sz val="10"/>
        <rFont val="맑은 고딕"/>
        <family val="0"/>
        <charset val="1"/>
      </rPr>
      <t xml:space="preserve">180g × </t>
    </r>
    <r>
      <rPr>
        <sz val="10"/>
        <rFont val="Noto Sans CJK SC"/>
        <family val="2"/>
      </rPr>
      <t xml:space="preserve">코코아분말 </t>
    </r>
    <r>
      <rPr>
        <sz val="10"/>
        <rFont val="맑은 고딕"/>
        <family val="0"/>
        <charset val="1"/>
      </rPr>
      <t xml:space="preserve">3%)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</si>
  <si>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대용 지표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코코아 원두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세계은행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분말 시세 대신 원두 가격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</si>
  <si>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설탕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원당</t>
    </r>
  </si>
  <si>
    <t xml:space="preserve">호주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</si>
  <si>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36g (</t>
    </r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 </t>
    </r>
    <r>
      <rPr>
        <sz val="10"/>
        <rFont val="맑은 고딕"/>
        <family val="0"/>
        <charset val="1"/>
      </rPr>
      <t xml:space="preserve">180g × </t>
    </r>
    <r>
      <rPr>
        <sz val="10"/>
        <rFont val="Noto Sans CJK SC"/>
        <family val="2"/>
      </rPr>
      <t xml:space="preserve">설탕 약 </t>
    </r>
    <r>
      <rPr>
        <sz val="10"/>
        <rFont val="맑은 고딕"/>
        <family val="0"/>
        <charset val="1"/>
      </rPr>
      <t xml:space="preserve">20%)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</si>
  <si>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평균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국제 원당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세계은행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</si>
  <si>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초콜릿칩 속 설탕</t>
    </r>
  </si>
  <si>
    <t xml:space="preserve">국산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</si>
  <si>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16.2g (</t>
    </r>
    <r>
      <rPr>
        <sz val="10"/>
        <rFont val="Noto Sans CJK SC"/>
        <family val="2"/>
      </rPr>
      <t xml:space="preserve">초콜릿칩 </t>
    </r>
    <r>
      <rPr>
        <sz val="10"/>
        <rFont val="맑은 고딕"/>
        <family val="0"/>
        <charset val="1"/>
      </rPr>
      <t xml:space="preserve">36g × </t>
    </r>
    <r>
      <rPr>
        <sz val="10"/>
        <rFont val="Noto Sans CJK SC"/>
        <family val="2"/>
      </rPr>
      <t xml:space="preserve">설탕 약 </t>
    </r>
    <r>
      <rPr>
        <sz val="10"/>
        <rFont val="맑은 고딕"/>
        <family val="0"/>
        <charset val="1"/>
      </rPr>
      <t xml:space="preserve">45%)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</si>
  <si>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대용 지표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국제 원당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세계은행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국내 정제 설탕도 원당은 수입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</si>
  <si>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버터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우유</t>
    </r>
  </si>
  <si>
    <t xml:space="preserve">뉴질랜드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</si>
  <si>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32.4g (</t>
    </r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 </t>
    </r>
    <r>
      <rPr>
        <sz val="10"/>
        <rFont val="맑은 고딕"/>
        <family val="0"/>
        <charset val="1"/>
      </rPr>
      <t xml:space="preserve">180g × </t>
    </r>
    <r>
      <rPr>
        <sz val="10"/>
        <rFont val="Noto Sans CJK SC"/>
        <family val="2"/>
      </rPr>
      <t xml:space="preserve">버터 약 </t>
    </r>
    <r>
      <rPr>
        <sz val="10"/>
        <rFont val="맑은 고딕"/>
        <family val="0"/>
        <charset val="1"/>
      </rPr>
      <t xml:space="preserve">18%)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</si>
  <si>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IndexBox (EU 유제품 시장 관측소 인용)</t>
  </si>
  <si>
    <t xml:space="preserve">EUR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</si>
  <si>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대용 지표 </t>
    </r>
    <r>
      <rPr>
        <sz val="10"/>
        <rFont val="맑은 고딕"/>
        <family val="0"/>
        <charset val="1"/>
      </rPr>
      <t xml:space="preserve">(2026-07-19</t>
    </r>
    <r>
      <rPr>
        <sz val="10"/>
        <rFont val="Noto Sans CJK SC"/>
        <family val="2"/>
      </rPr>
      <t xml:space="preserve">까지 주간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EU </t>
    </r>
    <r>
      <rPr>
        <sz val="10"/>
        <rFont val="Noto Sans CJK SC"/>
        <family val="2"/>
      </rPr>
      <t xml:space="preserve">평균 버터 가격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뉴질랜드산 시세 대신 </t>
    </r>
    <r>
      <rPr>
        <sz val="10"/>
        <rFont val="맑은 고딕"/>
        <family val="0"/>
        <charset val="1"/>
      </rPr>
      <t xml:space="preserve">EU </t>
    </r>
    <r>
      <rPr>
        <sz val="10"/>
        <rFont val="Noto Sans CJK SC"/>
        <family val="2"/>
      </rPr>
      <t xml:space="preserve">가격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</si>
  <si>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팜유</t>
    </r>
  </si>
  <si>
    <t xml:space="preserve">말레이시아</t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</si>
  <si>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14.4g (</t>
    </r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 </t>
    </r>
    <r>
      <rPr>
        <sz val="10"/>
        <rFont val="맑은 고딕"/>
        <family val="0"/>
        <charset val="1"/>
      </rPr>
      <t xml:space="preserve">180g × </t>
    </r>
    <r>
      <rPr>
        <sz val="10"/>
        <rFont val="Noto Sans CJK SC"/>
        <family val="2"/>
      </rPr>
      <t xml:space="preserve">팜유 약 </t>
    </r>
    <r>
      <rPr>
        <sz val="10"/>
        <rFont val="맑은 고딕"/>
        <family val="0"/>
        <charset val="1"/>
      </rPr>
      <t xml:space="preserve">8%)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</si>
  <si>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평균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팜유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세계은행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</si>
  <si>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계란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</si>
  <si>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14.4g (</t>
    </r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 </t>
    </r>
    <r>
      <rPr>
        <sz val="10"/>
        <rFont val="맑은 고딕"/>
        <family val="0"/>
        <charset val="1"/>
      </rPr>
      <t xml:space="preserve">180g × </t>
    </r>
    <r>
      <rPr>
        <sz val="10"/>
        <rFont val="Noto Sans CJK SC"/>
        <family val="2"/>
      </rPr>
      <t xml:space="preserve">계란 약 </t>
    </r>
    <r>
      <rPr>
        <sz val="10"/>
        <rFont val="맑은 고딕"/>
        <family val="0"/>
        <charset val="1"/>
      </rPr>
      <t xml:space="preserve">8%)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</si>
  <si>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뉴시스: KREI 8월 축산관측 (2026-08-05)</t>
  </si>
  <si>
    <t xml:space="preserve">KRW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</si>
  <si>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평균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특란 산지가격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(KREI). </t>
    </r>
    <r>
      <rPr>
        <sz val="10"/>
        <rFont val="Noto Sans CJK SC"/>
        <family val="2"/>
      </rPr>
      <t xml:space="preserve">계란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64g</t>
    </r>
    <r>
      <rPr>
        <sz val="10"/>
        <rFont val="Noto Sans CJK SC"/>
        <family val="2"/>
      </rPr>
      <t xml:space="preserve">으로 가정해 </t>
    </r>
    <r>
      <rPr>
        <sz val="10"/>
        <rFont val="맑은 고딕"/>
        <family val="0"/>
        <charset val="1"/>
      </rPr>
      <t xml:space="preserve">kg</t>
    </r>
    <r>
      <rPr>
        <sz val="10"/>
        <rFont val="Noto Sans CJK SC"/>
        <family val="2"/>
      </rPr>
      <t xml:space="preserve">으로 환산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소비자가는 특란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구 </t>
    </r>
    <r>
      <rPr>
        <sz val="10"/>
        <rFont val="맑은 고딕"/>
        <family val="0"/>
        <charset val="1"/>
      </rPr>
      <t xml:space="preserve">7,429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</si>
  <si>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유당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우유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</si>
  <si>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20g (</t>
    </r>
    <r>
      <rPr>
        <sz val="10"/>
        <rFont val="Noto Sans CJK SC"/>
        <family val="2"/>
      </rPr>
      <t xml:space="preserve">초콜릿칩 속 유당 약 </t>
    </r>
    <r>
      <rPr>
        <sz val="10"/>
        <rFont val="맑은 고딕"/>
        <family val="0"/>
        <charset val="1"/>
      </rPr>
      <t xml:space="preserve">1g ← </t>
    </r>
    <r>
      <rPr>
        <sz val="10"/>
        <rFont val="Noto Sans CJK SC"/>
        <family val="2"/>
      </rPr>
      <t xml:space="preserve">우유 약 </t>
    </r>
    <r>
      <rPr>
        <sz val="10"/>
        <rFont val="맑은 고딕"/>
        <family val="0"/>
        <charset val="1"/>
      </rPr>
      <t xml:space="preserve">20g(</t>
    </r>
    <r>
      <rPr>
        <sz val="10"/>
        <rFont val="Noto Sans CJK SC"/>
        <family val="2"/>
      </rPr>
      <t xml:space="preserve">유당 약 </t>
    </r>
    <r>
      <rPr>
        <sz val="10"/>
        <rFont val="맑은 고딕"/>
        <family val="0"/>
        <charset val="1"/>
      </rPr>
      <t xml:space="preserve">5%))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</si>
  <si>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t xml:space="preserve">파이낸셜뉴스: 원유 기본가격 동결 (2026-05-15)</t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</si>
  <si>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7/31 </t>
    </r>
    <r>
      <rPr>
        <sz val="10"/>
        <rFont val="Noto Sans CJK SC"/>
        <family val="2"/>
      </rPr>
      <t xml:space="preserve">시세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연중 적용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원유 기본가격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가공유</t>
    </r>
    <r>
      <rPr>
        <sz val="10"/>
        <rFont val="맑은 고딕"/>
        <family val="0"/>
        <charset val="1"/>
      </rPr>
      <t xml:space="preserve">). 2026</t>
    </r>
    <r>
      <rPr>
        <sz val="10"/>
        <rFont val="Noto Sans CJK SC"/>
        <family val="2"/>
      </rPr>
      <t xml:space="preserve">년 기본가격 동결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우유 </t>
    </r>
    <r>
      <rPr>
        <sz val="10"/>
        <rFont val="맑은 고딕"/>
        <family val="0"/>
        <charset val="1"/>
      </rPr>
      <t xml:space="preserve">1L ≈ 1.03kg</t>
    </r>
    <r>
      <rPr>
        <sz val="10"/>
        <rFont val="Noto Sans CJK SC"/>
        <family val="2"/>
      </rPr>
      <t xml:space="preserve">로 환산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음용유는 </t>
    </r>
    <r>
      <rPr>
        <sz val="10"/>
        <rFont val="맑은 고딕"/>
        <family val="0"/>
        <charset val="1"/>
      </rPr>
      <t xml:space="preserve">1,084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/L</t>
    </r>
  </si>
  <si>
    <r>
      <rPr>
        <sz val="10"/>
        <rFont val="Noto Sans CJK SC"/>
        <family val="2"/>
      </rPr>
      <t xml:space="preserve">쿠키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봉</t>
    </r>
    <r>
      <rPr>
        <sz val="10"/>
        <rFont val="맑은 고딕"/>
        <family val="0"/>
        <charset val="1"/>
      </rPr>
      <t xml:space="preserve">(180g) · </t>
    </r>
    <r>
      <rPr>
        <sz val="10"/>
        <rFont val="Noto Sans CJK SC"/>
        <family val="2"/>
      </rPr>
      <t xml:space="preserve">대두레시틴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대두</t>
    </r>
  </si>
  <si>
    <r>
      <rPr>
        <sz val="10"/>
        <rFont val="Noto Sans CJK SC"/>
        <family val="2"/>
      </rPr>
      <t xml:space="preserve">원료 양 </t>
    </r>
    <r>
      <rPr>
        <sz val="10"/>
        <rFont val="맑은 고딕"/>
        <family val="0"/>
        <charset val="1"/>
      </rPr>
      <t xml:space="preserve">0.2g (</t>
    </r>
    <r>
      <rPr>
        <sz val="10"/>
        <rFont val="Noto Sans CJK SC"/>
        <family val="2"/>
      </rPr>
      <t xml:space="preserve">초콜릿칩 </t>
    </r>
    <r>
      <rPr>
        <sz val="10"/>
        <rFont val="맑은 고딕"/>
        <family val="0"/>
        <charset val="1"/>
      </rPr>
      <t xml:space="preserve">36g × </t>
    </r>
    <r>
      <rPr>
        <sz val="10"/>
        <rFont val="Noto Sans CJK SC"/>
        <family val="2"/>
      </rPr>
      <t xml:space="preserve">대두레시틴 약 </t>
    </r>
    <r>
      <rPr>
        <sz val="10"/>
        <rFont val="맑은 고딕"/>
        <family val="0"/>
        <charset val="1"/>
      </rPr>
      <t xml:space="preserve">0.5%) × 1kg </t>
    </r>
    <r>
      <rPr>
        <sz val="10"/>
        <rFont val="Noto Sans CJK SC"/>
        <family val="2"/>
      </rPr>
      <t xml:space="preserve">당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 ÷ 1,000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</si>
  <si>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대용 지표 </t>
    </r>
    <r>
      <rPr>
        <sz val="10"/>
        <rFont val="맑은 고딕"/>
        <family val="0"/>
        <charset val="1"/>
      </rPr>
      <t xml:space="preserve">(2026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평균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시세 지표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대두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세계은행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국제가격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국산 대두 대신 국제 대두 가격</t>
    </r>
  </si>
  <si>
    <r>
      <rPr>
        <b val="true"/>
        <sz val="10"/>
        <rFont val="Noto Sans CJK SC"/>
        <family val="2"/>
      </rPr>
      <t xml:space="preserve">쿠키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봉</t>
    </r>
    <r>
      <rPr>
        <b val="true"/>
        <sz val="10"/>
        <rFont val="맑은 고딕"/>
        <family val="0"/>
        <charset val="1"/>
      </rPr>
      <t xml:space="preserve">(180g) </t>
    </r>
    <r>
      <rPr>
        <b val="true"/>
        <sz val="10"/>
        <rFont val="Noto Sans CJK SC"/>
        <family val="2"/>
      </rPr>
      <t xml:space="preserve">원료 비용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조사값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</si>
  <si>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부가가치 학습자료의 원료 단계 금액 </t>
    </r>
    <r>
      <rPr>
        <b val="true"/>
        <sz val="10"/>
        <rFont val="맑은 고딕"/>
        <family val="0"/>
        <charset val="1"/>
      </rPr>
      <t xml:space="preserve">: 560</t>
    </r>
    <r>
      <rPr>
        <b val="true"/>
        <sz val="10"/>
        <rFont val="Noto Sans CJK SC"/>
        <family val="2"/>
      </rPr>
      <t xml:space="preserve">원</t>
    </r>
  </si>
  <si>
    <r>
      <rPr>
        <b val="true"/>
        <sz val="10"/>
        <rFont val="Noto Sans CJK SC"/>
        <family val="2"/>
      </rPr>
      <t xml:space="preserve">조사값 합계를 반올림해 약 </t>
    </r>
    <r>
      <rPr>
        <b val="true"/>
        <sz val="10"/>
        <rFont val="맑은 고딕"/>
        <family val="0"/>
        <charset val="1"/>
      </rPr>
      <t xml:space="preserve">560</t>
    </r>
    <r>
      <rPr>
        <b val="true"/>
        <sz val="10"/>
        <rFont val="Noto Sans CJK SC"/>
        <family val="2"/>
      </rPr>
      <t xml:space="preserve">원</t>
    </r>
  </si>
  <si>
    <r>
      <rPr>
        <sz val="9"/>
        <color rgb="FF555555"/>
        <rFont val="Noto Sans CJK SC"/>
        <family val="2"/>
      </rPr>
      <t xml:space="preserve">※ 파란 글씨 </t>
    </r>
    <r>
      <rPr>
        <sz val="9"/>
        <color rgb="FF555555"/>
        <rFont val="맑은 고딕"/>
        <family val="0"/>
        <charset val="1"/>
      </rPr>
      <t xml:space="preserve">= </t>
    </r>
    <r>
      <rPr>
        <sz val="9"/>
        <color rgb="FF555555"/>
        <rFont val="Noto Sans CJK SC"/>
        <family val="2"/>
      </rPr>
      <t xml:space="preserve">조사한 값 </t>
    </r>
    <r>
      <rPr>
        <sz val="9"/>
        <color rgb="FF555555"/>
        <rFont val="맑은 고딕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초록 글씨 </t>
    </r>
    <r>
      <rPr>
        <sz val="9"/>
        <color rgb="FF555555"/>
        <rFont val="맑은 고딕"/>
        <family val="0"/>
        <charset val="1"/>
      </rPr>
      <t xml:space="preserve">= </t>
    </r>
    <r>
      <rPr>
        <sz val="9"/>
        <color rgb="FF555555"/>
        <rFont val="Noto Sans CJK SC"/>
        <family val="2"/>
      </rPr>
      <t xml:space="preserve">「계산 근거」 시트에서 계산한 값 </t>
    </r>
    <r>
      <rPr>
        <sz val="9"/>
        <color rgb="FF555555"/>
        <rFont val="맑은 고딕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노란 줄 </t>
    </r>
    <r>
      <rPr>
        <sz val="9"/>
        <color rgb="FF555555"/>
        <rFont val="맑은 고딕"/>
        <family val="0"/>
        <charset val="1"/>
      </rPr>
      <t xml:space="preserve">= </t>
    </r>
    <r>
      <rPr>
        <sz val="9"/>
        <color rgb="FF555555"/>
        <rFont val="Noto Sans CJK SC"/>
        <family val="2"/>
      </rPr>
      <t xml:space="preserve">제품별 합계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원유 줄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기울임</t>
    </r>
    <r>
      <rPr>
        <sz val="9"/>
        <color rgb="FF555555"/>
        <rFont val="맑은 고딕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은 플라스틱 수지 가격에 이미 들어 있어 합계에서 뺐습니다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</si>
  <si>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sz val="9"/>
        <color rgb="FF555555"/>
        <rFont val="Noto Sans CJK SC"/>
        <family val="2"/>
      </rPr>
      <t xml:space="preserve">※ 수출용 도매 가격은 수십 톤 단위로 거래되는 국제 시세입니다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계란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SC"/>
        <family val="2"/>
      </rPr>
      <t xml:space="preserve">우유는 국내 산지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SC"/>
        <family val="2"/>
      </rPr>
      <t xml:space="preserve">기본 가격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립밤 원료 </t>
    </r>
    <r>
      <rPr>
        <sz val="9"/>
        <color rgb="FF555555"/>
        <rFont val="맑은 고딕"/>
        <family val="0"/>
        <charset val="1"/>
      </rPr>
      <t xml:space="preserve">4</t>
    </r>
    <r>
      <rPr>
        <sz val="9"/>
        <color rgb="FF555555"/>
        <rFont val="Noto Sans CJK SC"/>
        <family val="2"/>
      </rPr>
      <t xml:space="preserve">종은 소량 판매 목록가</t>
    </r>
    <r>
      <rPr>
        <sz val="9"/>
        <color rgb="FF555555"/>
        <rFont val="맑은 고딕"/>
        <family val="0"/>
        <charset val="1"/>
      </rPr>
      <t xml:space="preserve">(2026-10-16 </t>
    </r>
    <r>
      <rPr>
        <sz val="9"/>
        <color rgb="FF555555"/>
        <rFont val="Noto Sans CJK SC"/>
        <family val="2"/>
      </rPr>
      <t xml:space="preserve">조회</t>
    </r>
    <r>
      <rPr>
        <sz val="9"/>
        <color rgb="FF555555"/>
        <rFont val="맑은 고딕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입니다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</si>
  <si>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sz val="9"/>
        <color rgb="FF555555"/>
        <rFont val="Noto Sans CJK SC"/>
        <family val="2"/>
      </rPr>
      <t xml:space="preserve">※ 원료 비용 </t>
    </r>
    <r>
      <rPr>
        <sz val="9"/>
        <color rgb="FF555555"/>
        <rFont val="맑은 고딕"/>
        <family val="0"/>
        <charset val="1"/>
      </rPr>
      <t xml:space="preserve">= </t>
    </r>
    <r>
      <rPr>
        <sz val="9"/>
        <color rgb="FF555555"/>
        <rFont val="Noto Sans CJK SC"/>
        <family val="2"/>
      </rPr>
      <t xml:space="preserve">제품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단위에 드는 원료 양</t>
    </r>
    <r>
      <rPr>
        <sz val="9"/>
        <color rgb="FF555555"/>
        <rFont val="맑은 고딕"/>
        <family val="0"/>
        <charset val="1"/>
      </rPr>
      <t xml:space="preserve">(g) × 1kg </t>
    </r>
    <r>
      <rPr>
        <sz val="9"/>
        <color rgb="FF555555"/>
        <rFont val="Noto Sans CJK SC"/>
        <family val="2"/>
      </rPr>
      <t xml:space="preserve">당 가격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원</t>
    </r>
    <r>
      <rPr>
        <sz val="9"/>
        <color rgb="FF555555"/>
        <rFont val="맑은 고딕"/>
        <family val="0"/>
        <charset val="1"/>
      </rPr>
      <t xml:space="preserve">) ÷ 1,000. </t>
    </r>
    <r>
      <rPr>
        <sz val="9"/>
        <color rgb="FF555555"/>
        <rFont val="Noto Sans CJK SC"/>
        <family val="2"/>
      </rPr>
      <t xml:space="preserve">원료 양은 라벨 함량과 보통 제품 무게로 추정한 값입니다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</si>
  <si>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제품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원료</t>
    </r>
  </si>
  <si>
    <r>
      <rPr>
        <b val="true"/>
        <sz val="10"/>
        <color rgb="FFFFFFFF"/>
        <rFont val="Noto Sans CJK SC"/>
        <family val="2"/>
      </rPr>
      <t xml:space="preserve">수출용 도매 가격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원료 가격 시트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</si>
  <si>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1kg </t>
    </r>
    <r>
      <rPr>
        <b val="true"/>
        <sz val="10"/>
        <color rgb="FFFFFFFF"/>
        <rFont val="Noto Sans CJK SC"/>
        <family val="2"/>
      </rPr>
      <t xml:space="preserve">으로 바꾸는 계수</t>
    </r>
  </si>
  <si>
    <r>
      <rPr>
        <b val="true"/>
        <sz val="10"/>
        <color rgb="FFFFFFFF"/>
        <rFont val="맑은 고딕"/>
        <family val="0"/>
        <charset val="1"/>
      </rPr>
      <t xml:space="preserve">1kg </t>
    </r>
    <r>
      <rPr>
        <b val="true"/>
        <sz val="10"/>
        <color rgb="FFFFFFFF"/>
        <rFont val="Noto Sans CJK SC"/>
        <family val="2"/>
      </rPr>
      <t xml:space="preserve">당 가격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현지 통화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</si>
  <si>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환율 </t>
    </r>
    <r>
      <rPr>
        <b val="true"/>
        <sz val="10"/>
        <color rgb="FFFFFFFF"/>
        <rFont val="맑은 고딕"/>
        <family val="0"/>
        <charset val="1"/>
      </rPr>
      <t xml:space="preserve">(1</t>
    </r>
    <r>
      <rPr>
        <b val="true"/>
        <sz val="10"/>
        <color rgb="FFFFFFFF"/>
        <rFont val="Noto Sans CJK SC"/>
        <family val="2"/>
      </rPr>
      <t xml:space="preserve">단위 </t>
    </r>
    <r>
      <rPr>
        <b val="true"/>
        <sz val="10"/>
        <color rgb="FFFFFFFF"/>
        <rFont val="맑은 고딕"/>
        <family val="0"/>
        <charset val="1"/>
      </rPr>
      <t xml:space="preserve">= 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</si>
  <si>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1kg </t>
    </r>
    <r>
      <rPr>
        <b val="true"/>
        <sz val="10"/>
        <color rgb="FFFFFFFF"/>
        <rFont val="Noto Sans CJK SC"/>
        <family val="2"/>
      </rPr>
      <t xml:space="preserve">당 가격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</si>
  <si>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제품 </t>
    </r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단위에 드는 원료 양 </t>
    </r>
    <r>
      <rPr>
        <b val="true"/>
        <sz val="10"/>
        <color rgb="FFFFFFFF"/>
        <rFont val="맑은 고딕"/>
        <family val="0"/>
        <charset val="1"/>
      </rPr>
      <t xml:space="preserve">(g)</t>
    </r>
  </si>
  <si>
    <r>
      <rPr>
        <b val="true"/>
        <sz val="10"/>
        <color rgb="FFFFFFFF"/>
        <rFont val="Noto Sans CJK SC"/>
        <family val="2"/>
      </rPr>
      <t xml:space="preserve">원료 비용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</si>
  <si>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1kg </t>
    </r>
    <r>
      <rPr>
        <b val="true"/>
        <sz val="10"/>
        <color rgb="FFFFFFFF"/>
        <rFont val="Noto Sans CJK SC"/>
        <family val="2"/>
      </rPr>
      <t xml:space="preserve">으로 생산 가능 추정 제품 수</t>
    </r>
  </si>
  <si>
    <r>
      <rPr>
        <sz val="9"/>
        <color rgb="FF555555"/>
        <rFont val="맑은 고딕"/>
        <family val="0"/>
        <charset val="1"/>
      </rPr>
      <t xml:space="preserve">※ 1kg </t>
    </r>
    <r>
      <rPr>
        <sz val="9"/>
        <color rgb="FF555555"/>
        <rFont val="Noto Sans CJK SC"/>
        <family val="2"/>
      </rPr>
      <t xml:space="preserve">으로 생산 가능 추정 제품 수 </t>
    </r>
    <r>
      <rPr>
        <sz val="9"/>
        <color rgb="FF555555"/>
        <rFont val="맑은 고딕"/>
        <family val="0"/>
        <charset val="1"/>
      </rPr>
      <t xml:space="preserve">= 1,000g ÷ </t>
    </r>
    <r>
      <rPr>
        <sz val="9"/>
        <color rgb="FF555555"/>
        <rFont val="Noto Sans CJK SC"/>
        <family val="2"/>
      </rPr>
      <t xml:space="preserve">제품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단위에 드는 원료 양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사인펜은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상자</t>
    </r>
    <r>
      <rPr>
        <sz val="9"/>
        <color rgb="FF555555"/>
        <rFont val="맑은 고딕"/>
        <family val="0"/>
        <charset val="1"/>
      </rPr>
      <t xml:space="preserve">(12</t>
    </r>
    <r>
      <rPr>
        <sz val="9"/>
        <color rgb="FF555555"/>
        <rFont val="Noto Sans CJK SC"/>
        <family val="2"/>
      </rPr>
      <t xml:space="preserve">자루</t>
    </r>
    <r>
      <rPr>
        <sz val="9"/>
        <color rgb="FF555555"/>
        <rFont val="맑은 고딕"/>
        <family val="0"/>
        <charset val="1"/>
      </rPr>
      <t xml:space="preserve">), </t>
    </r>
    <r>
      <rPr>
        <sz val="9"/>
        <color rgb="FF555555"/>
        <rFont val="Noto Sans CJK SC"/>
        <family val="2"/>
      </rPr>
      <t xml:space="preserve">쿠키는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상자</t>
    </r>
    <r>
      <rPr>
        <sz val="9"/>
        <color rgb="FF555555"/>
        <rFont val="맑은 고딕"/>
        <family val="0"/>
        <charset val="1"/>
      </rPr>
      <t xml:space="preserve">(12</t>
    </r>
    <r>
      <rPr>
        <sz val="9"/>
        <color rgb="FF555555"/>
        <rFont val="Noto Sans CJK SC"/>
        <family val="2"/>
      </rPr>
      <t xml:space="preserve">봉</t>
    </r>
    <r>
      <rPr>
        <sz val="9"/>
        <color rgb="FF555555"/>
        <rFont val="맑은 고딕"/>
        <family val="0"/>
        <charset val="1"/>
      </rPr>
      <t xml:space="preserve">) </t>
    </r>
    <r>
      <rPr>
        <sz val="9"/>
        <color rgb="FF555555"/>
        <rFont val="Noto Sans CJK SC"/>
        <family val="2"/>
      </rPr>
      <t xml:space="preserve">기준입니다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</si>
  <si>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환율 — </t>
    </r>
    <r>
      <rPr>
        <b val="true"/>
        <sz val="13"/>
        <rFont val="맑은 고딕"/>
        <family val="0"/>
        <charset val="1"/>
      </rPr>
      <t xml:space="preserve">2026</t>
    </r>
    <r>
      <rPr>
        <b val="true"/>
        <sz val="13"/>
        <rFont val="Noto Sans CJK SC"/>
        <family val="2"/>
      </rPr>
      <t xml:space="preserve">년 </t>
    </r>
    <r>
      <rPr>
        <b val="true"/>
        <sz val="13"/>
        <rFont val="맑은 고딕"/>
        <family val="0"/>
        <charset val="1"/>
      </rPr>
      <t xml:space="preserve">7</t>
    </r>
    <r>
      <rPr>
        <b val="true"/>
        <sz val="13"/>
        <rFont val="Noto Sans CJK SC"/>
        <family val="2"/>
      </rPr>
      <t xml:space="preserve">월 </t>
    </r>
    <r>
      <rPr>
        <b val="true"/>
        <sz val="13"/>
        <rFont val="맑은 고딕"/>
        <family val="0"/>
        <charset val="1"/>
      </rPr>
      <t xml:space="preserve">31</t>
    </r>
    <r>
      <rPr>
        <b val="true"/>
        <sz val="13"/>
        <rFont val="Noto Sans CJK SC"/>
        <family val="2"/>
      </rPr>
      <t xml:space="preserve">일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금</t>
    </r>
    <r>
      <rPr>
        <b val="true"/>
        <sz val="13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</si>
  <si>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입력값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파란 글씨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</si>
  <si>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서울외환시장 종가</t>
    </r>
    <r>
      <rPr>
        <sz val="10"/>
        <rFont val="맑은 고딕"/>
        <family val="0"/>
        <charset val="1"/>
      </rPr>
      <t xml:space="preserve">)</t>
    </r>
  </si>
  <si>
    <t xml:space="preserve">원</t>
  </si>
  <si>
    <r>
      <rPr>
        <sz val="10"/>
        <rFont val="Noto Sans CJK SC"/>
        <family val="2"/>
      </rPr>
      <t xml:space="preserve">머니투데이 </t>
    </r>
    <r>
      <rPr>
        <sz val="10"/>
        <rFont val="맑은 고딕"/>
        <family val="0"/>
        <charset val="1"/>
      </rPr>
      <t xml:space="preserve">2026-07-31 </t>
    </r>
    <r>
      <rPr>
        <sz val="10"/>
        <rFont val="Noto Sans CJK SC"/>
        <family val="2"/>
      </rPr>
      <t xml:space="preserve">「원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달러 환율</t>
    </r>
    <r>
      <rPr>
        <sz val="10"/>
        <rFont val="맑은 고딕"/>
        <family val="0"/>
        <charset val="1"/>
      </rPr>
      <t xml:space="preserve">, 13.4</t>
    </r>
    <r>
      <rPr>
        <sz val="10"/>
        <rFont val="Noto Sans CJK SC"/>
        <family val="2"/>
      </rPr>
      <t xml:space="preserve">원 내린 </t>
    </r>
    <r>
      <rPr>
        <sz val="10"/>
        <rFont val="맑은 고딕"/>
        <family val="0"/>
        <charset val="1"/>
      </rPr>
      <t xml:space="preserve">1424.0</t>
    </r>
    <r>
      <rPr>
        <sz val="10"/>
        <rFont val="Noto Sans CJK SC"/>
        <family val="2"/>
      </rPr>
      <t xml:space="preserve">원」</t>
    </r>
  </si>
  <si>
    <t xml:space="preserve">https://www.mt.co.kr/economy/2026/07/31/2026073115373095223</t>
  </si>
  <si>
    <r>
      <rPr>
        <sz val="10"/>
        <rFont val="Noto Sans CJK SC"/>
        <family val="2"/>
      </rPr>
      <t xml:space="preserve">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달러 </t>
    </r>
    <r>
      <rPr>
        <sz val="10"/>
        <rFont val="맑은 고딕"/>
        <family val="0"/>
        <charset val="1"/>
      </rPr>
      <t xml:space="preserve">(MUFG </t>
    </r>
    <r>
      <rPr>
        <sz val="10"/>
        <rFont val="Noto Sans CJK SC"/>
        <family val="2"/>
      </rPr>
      <t xml:space="preserve">매도율 </t>
    </r>
    <r>
      <rPr>
        <sz val="10"/>
        <rFont val="맑은 고딕"/>
        <family val="0"/>
        <charset val="1"/>
      </rPr>
      <t xml:space="preserve">TTS)</t>
    </r>
  </si>
  <si>
    <t xml:space="preserve">엔</t>
  </si>
  <si>
    <r>
      <rPr>
        <sz val="10"/>
        <rFont val="맑은 고딕"/>
        <family val="0"/>
        <charset val="1"/>
      </rPr>
      <t xml:space="preserve">MUFG </t>
    </r>
    <r>
      <rPr>
        <sz val="10"/>
        <rFont val="Noto Sans CJK SC"/>
        <family val="2"/>
      </rPr>
      <t xml:space="preserve">미쓰비시</t>
    </r>
    <r>
      <rPr>
        <sz val="10"/>
        <rFont val="맑은 고딕"/>
        <family val="0"/>
        <charset val="1"/>
      </rPr>
      <t xml:space="preserve">UFJ 2026-07-31 </t>
    </r>
    <r>
      <rPr>
        <sz val="10"/>
        <rFont val="Noto Sans CJK SC"/>
        <family val="2"/>
      </rPr>
      <t xml:space="preserve">외환시세</t>
    </r>
  </si>
  <si>
    <t xml:space="preserve">https://murc-kawasesouba.jp/fx/past/index.php?id=260731</t>
  </si>
  <si>
    <r>
      <rPr>
        <sz val="10"/>
        <rFont val="Noto Sans CJK SC"/>
        <family val="2"/>
      </rPr>
      <t xml:space="preserve">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달러 </t>
    </r>
    <r>
      <rPr>
        <sz val="10"/>
        <rFont val="맑은 고딕"/>
        <family val="0"/>
        <charset val="1"/>
      </rPr>
      <t xml:space="preserve">(MUFG </t>
    </r>
    <r>
      <rPr>
        <sz val="10"/>
        <rFont val="Noto Sans CJK SC"/>
        <family val="2"/>
      </rPr>
      <t xml:space="preserve">매입률 </t>
    </r>
    <r>
      <rPr>
        <sz val="10"/>
        <rFont val="맑은 고딕"/>
        <family val="0"/>
        <charset val="1"/>
      </rPr>
      <t xml:space="preserve">TTB)</t>
    </r>
  </si>
  <si>
    <t xml:space="preserve">〃</t>
  </si>
  <si>
    <r>
      <rPr>
        <sz val="10"/>
        <rFont val="Noto Sans CJK SC"/>
        <family val="2"/>
      </rPr>
      <t xml:space="preserve">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위안 </t>
    </r>
    <r>
      <rPr>
        <sz val="10"/>
        <rFont val="맑은 고딕"/>
        <family val="0"/>
        <charset val="1"/>
      </rPr>
      <t xml:space="preserve">(MUFG TTS)</t>
    </r>
  </si>
  <si>
    <r>
      <rPr>
        <sz val="10"/>
        <rFont val="Noto Sans CJK SC"/>
        <family val="2"/>
      </rPr>
      <t xml:space="preserve">〃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역외 위안 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</si>
  <si>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위안 </t>
    </r>
    <r>
      <rPr>
        <sz val="10"/>
        <rFont val="맑은 고딕"/>
        <family val="0"/>
        <charset val="1"/>
      </rPr>
      <t xml:space="preserve">(MUFG TTB)</t>
    </r>
  </si>
  <si>
    <r>
      <rPr>
        <sz val="10"/>
        <rFont val="Noto Sans CJK SC"/>
        <family val="2"/>
      </rPr>
      <t xml:space="preserve">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유로 </t>
    </r>
    <r>
      <rPr>
        <sz val="10"/>
        <rFont val="맑은 고딕"/>
        <family val="0"/>
        <charset val="1"/>
      </rPr>
      <t xml:space="preserve">(MUFG TTS)</t>
    </r>
  </si>
  <si>
    <r>
      <rPr>
        <sz val="10"/>
        <rFont val="Noto Sans CJK SC"/>
        <family val="2"/>
      </rPr>
      <t xml:space="preserve">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유로 </t>
    </r>
    <r>
      <rPr>
        <sz val="10"/>
        <rFont val="맑은 고딕"/>
        <family val="0"/>
        <charset val="1"/>
      </rPr>
      <t xml:space="preserve">(MUFG TTB)</t>
    </r>
  </si>
  <si>
    <t xml:space="preserve">계산 방법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</si>
  <si>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단위 </t>
    </r>
    <r>
      <rPr>
        <b val="true"/>
        <sz val="10"/>
        <color rgb="FFFFFFFF"/>
        <rFont val="맑은 고딕"/>
        <family val="0"/>
        <charset val="1"/>
      </rPr>
      <t xml:space="preserve">= </t>
    </r>
    <r>
      <rPr>
        <b val="true"/>
        <sz val="10"/>
        <color rgb="FFFFFFFF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</si>
  <si>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달러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서울 종가 그대로</t>
    </r>
  </si>
  <si>
    <r>
      <rPr>
        <sz val="10"/>
        <rFont val="Noto Sans CJK SC"/>
        <family val="2"/>
      </rPr>
      <t xml:space="preserve">위안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달러 </t>
    </r>
    <r>
      <rPr>
        <sz val="10"/>
        <rFont val="맑은 고딕"/>
        <family val="0"/>
        <charset val="1"/>
      </rPr>
      <t xml:space="preserve">÷ (</t>
    </r>
    <r>
      <rPr>
        <sz val="10"/>
        <rFont val="Noto Sans CJK SC"/>
        <family val="2"/>
      </rPr>
      <t xml:space="preserve">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달러 중간값 </t>
    </r>
    <r>
      <rPr>
        <sz val="10"/>
        <rFont val="맑은 고딕"/>
        <family val="0"/>
        <charset val="1"/>
      </rPr>
      <t xml:space="preserve">÷ </t>
    </r>
    <r>
      <rPr>
        <sz val="10"/>
        <rFont val="Noto Sans CJK SC"/>
        <family val="2"/>
      </rPr>
      <t xml:space="preserve">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위안 중간값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</si>
  <si>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유로 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달러 </t>
    </r>
    <r>
      <rPr>
        <sz val="10"/>
        <rFont val="맑은 고딕"/>
        <family val="0"/>
        <charset val="1"/>
      </rPr>
      <t xml:space="preserve">× (</t>
    </r>
    <r>
      <rPr>
        <sz val="10"/>
        <rFont val="Noto Sans CJK SC"/>
        <family val="2"/>
      </rPr>
      <t xml:space="preserve">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유로 중간값 </t>
    </r>
    <r>
      <rPr>
        <sz val="10"/>
        <rFont val="맑은 고딕"/>
        <family val="0"/>
        <charset val="1"/>
      </rPr>
      <t xml:space="preserve">÷ </t>
    </r>
    <r>
      <rPr>
        <sz val="10"/>
        <rFont val="Noto Sans CJK SC"/>
        <family val="2"/>
      </rPr>
      <t xml:space="preserve">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달러 중간값</t>
    </r>
    <r>
      <rPr>
        <sz val="10"/>
        <rFont val="맑은 고딕"/>
        <family val="0"/>
        <charset val="1"/>
      </rPr>
      <t xml:space="preserve">)</t>
    </r>
  </si>
  <si>
    <t xml:space="preserve">원화</t>
  </si>
  <si>
    <r>
      <rPr>
        <sz val="9"/>
        <color rgb="FF555555"/>
        <rFont val="Noto Sans CJK SC"/>
        <family val="2"/>
      </rPr>
      <t xml:space="preserve">※ 위안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SC"/>
        <family val="2"/>
      </rPr>
      <t xml:space="preserve">유로 환율은 같은 날 일본 </t>
    </r>
    <r>
      <rPr>
        <sz val="9"/>
        <color rgb="FF555555"/>
        <rFont val="맑은 고딕"/>
        <family val="0"/>
        <charset val="1"/>
      </rPr>
      <t xml:space="preserve">MUFG </t>
    </r>
    <r>
      <rPr>
        <sz val="9"/>
        <color rgb="FF555555"/>
        <rFont val="Noto Sans CJK SC"/>
        <family val="2"/>
      </rPr>
      <t xml:space="preserve">고시 환율로 달러와의 교차환율을 구해 원화로 바꾼 값입니다</t>
    </r>
    <r>
      <rPr>
        <sz val="9"/>
        <color rgb="FF555555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</si>
</sst>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&quot;1kg 당 &quot;#,##0.00&quot; 달러&quot;"/>
    <numFmt numFmtId="166" formatCode="#,##0.0&quot; 원&quot;"/>
    <numFmt numFmtId="167" formatCode="&quot;1,000kg 당 &quot;#,##0&quot; 달러&quot;"/>
    <numFmt numFmtId="168" formatCode="&quot;1,000kg 당 &quot;#,##0.00&quot; 달러&quot;"/>
    <numFmt numFmtId="169" formatCode="&quot;1,000kg 당 &quot;#,##0.00&quot; 위안&quot;"/>
    <numFmt numFmtId="170" formatCode="&quot;1배럴(약 136kg) 당 &quot;#,##0.00&quot; 달러&quot;"/>
    <numFmt numFmtId="171" formatCode="&quot;1,000kg 당 &quot;#,##0&quot; 위안&quot;"/>
    <numFmt numFmtId="172" formatCode="&quot;1파운드(약 0.45kg) 당 &quot;#,##0.00&quot; 달러&quot;"/>
    <numFmt numFmtId="173" formatCode="&quot;1,000kg 당 &quot;#,##0&quot; 유로&quot;"/>
    <numFmt numFmtId="174" formatCode="&quot;계란 10개(약 640g) 당 &quot;#,##0&quot; 원&quot;"/>
    <numFmt numFmtId="175" formatCode="&quot;우유 1L 당 &quot;#,##0&quot; 원&quot;"/>
    <numFmt numFmtId="176" formatCode="#,##0.00"/>
    <numFmt numFmtId="177" formatCode="0.000000"/>
    <numFmt numFmtId="178" formatCode="#,##0.00&quot; 원&quot;"/>
    <numFmt numFmtId="179" formatCode="&quot;1kg 당 &quot;#,##0&quot; 원&quot;"/>
    <numFmt numFmtId="180" formatCode="#,##0.####&quot; g&quot;"/>
    <numFmt numFmtId="181" formatCode="&quot;약 &quot;#,##0&quot; 개&quot;"/>
    <numFmt numFmtId="182" formatCode="&quot;약 &quot;#,##0.0&quot; 상자&quot;"/>
    <numFmt numFmtId="183" formatCode="&quot;약 &quot;#,##0&quot; 상자&quot;"/>
    <numFmt numFmtId="184" formatCode="&quot;약 &quot;#,##0.0&quot; 켤레&quot;"/>
    <numFmt numFmtId="185" formatCode="&quot;약 &quot;#,##0.0&quot; 벌&quot;"/>
    <numFmt numFmtId="186" formatCode="&quot;약 &quot;#,##0&quot; 세트&quot;"/>
    <numFmt numFmtId="187" formatCode="&quot;약 &quot;#,##0.0&quot; 세트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9"/>
      <color rgb="FF555555"/>
      <name val="Noto Sans CJK SC"/>
      <family val="2"/>
    </font>
    <font>
      <sz val="9"/>
      <color rgb="FF555555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8000"/>
      <name val="맑은 고딕"/>
      <family val="0"/>
      <charset val="1"/>
    </font>
    <font>
      <u val="single"/>
      <sz val="10"/>
      <color rgb="FF0563C1"/>
      <name val="맑은 고딕"/>
      <family val="0"/>
      <charset val="1"/>
    </font>
    <font>
      <u val="single"/>
      <sz val="10"/>
      <color rgb="FF0563C1"/>
      <name val="Noto Sans CJK SC"/>
      <family val="2"/>
    </font>
    <font>
      <i val="true"/>
      <sz val="10"/>
      <color rgb="FF00800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  <font>
      <u val="single"/>
      <sz val="9"/>
      <color rgb="FF0563C1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E47"/>
        <bgColor rgb="FF555555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2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3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4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5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2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3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F5E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ccio.com/supplier/bulk-shea-butter-wholesale" TargetMode="External"/><Relationship Id="rId2" Type="http://schemas.openxmlformats.org/officeDocument/2006/relationships/hyperlink" Target="https://bulknaturaloils.com/beeswax-yellow-granules.html" TargetMode="External"/><Relationship Id="rId3" Type="http://schemas.openxmlformats.org/officeDocument/2006/relationships/hyperlink" Target="https://thedocs.worldbank.org/en/doc/74e8be41ceb20fa0da750cda2f6b9e4e-0050012026/related/CMO-Pink-Sheet-August-2026.pdf" TargetMode="External"/><Relationship Id="rId4" Type="http://schemas.openxmlformats.org/officeDocument/2006/relationships/hyperlink" Target="https://commodity-board.com/ukrainian-sunflower-complex-slips-slightly-as-new-crop-optimism-grows" TargetMode="External"/><Relationship Id="rId5" Type="http://schemas.openxmlformats.org/officeDocument/2006/relationships/hyperlink" Target="https://bulknaturaloils.com/jojoba-oil-golden-s1270.html" TargetMode="External"/><Relationship Id="rId6" Type="http://schemas.openxmlformats.org/officeDocument/2006/relationships/hyperlink" Target="https://test.bulknaturaloils.com/carnauba-wax-t1-b4030.html" TargetMode="External"/><Relationship Id="rId7" Type="http://schemas.openxmlformats.org/officeDocument/2006/relationships/hyperlink" Target="https://www.sunsirs.com/uk/detail_news-34945.html" TargetMode="External"/><Relationship Id="rId8" Type="http://schemas.openxmlformats.org/officeDocument/2006/relationships/hyperlink" Target="https://www.eia.gov/dnav/pet/hist_xls/RBRTEd.xls" TargetMode="External"/><Relationship Id="rId9" Type="http://schemas.openxmlformats.org/officeDocument/2006/relationships/hyperlink" Target="https://www.sunsirs.com/uk/detail_news-34945.html" TargetMode="External"/><Relationship Id="rId10" Type="http://schemas.openxmlformats.org/officeDocument/2006/relationships/hyperlink" Target="https://www.eia.gov/dnav/pet/hist_xls/RBRTEd.xls" TargetMode="External"/><Relationship Id="rId11" Type="http://schemas.openxmlformats.org/officeDocument/2006/relationships/hyperlink" Target="https://www.sunsirs.com/uk/detail_news-34894.html" TargetMode="External"/><Relationship Id="rId12" Type="http://schemas.openxmlformats.org/officeDocument/2006/relationships/hyperlink" Target="https://www.sunsirs.com/uk/detail_news-34807.html" TargetMode="External"/><Relationship Id="rId13" Type="http://schemas.openxmlformats.org/officeDocument/2006/relationships/hyperlink" Target="https://news.10jqka.com.cn/20260803/c678615151.shtml" TargetMode="External"/><Relationship Id="rId14" Type="http://schemas.openxmlformats.org/officeDocument/2006/relationships/hyperlink" Target="https://www.sunsirs.com/uk/detail_news-34807.html" TargetMode="External"/><Relationship Id="rId15" Type="http://schemas.openxmlformats.org/officeDocument/2006/relationships/hyperlink" Target="https://www.sunsirs.com/uk/detail_news-34696.html" TargetMode="External"/><Relationship Id="rId16" Type="http://schemas.openxmlformats.org/officeDocument/2006/relationships/hyperlink" Target="https://rdqh.com/upload/files/base/5/g/115541.pdf" TargetMode="External"/><Relationship Id="rId17" Type="http://schemas.openxmlformats.org/officeDocument/2006/relationships/hyperlink" Target="https://rdqh.com/upload/files/base/5/g/115541.pdf" TargetMode="External"/><Relationship Id="rId18" Type="http://schemas.openxmlformats.org/officeDocument/2006/relationships/hyperlink" Target="https://thedocs.worldbank.org/en/doc/74e8be41ceb20fa0da750cda2f6b9e4e-0050012026/related/CMO-Pink-Sheet-August-2026.pdf" TargetMode="External"/><Relationship Id="rId19" Type="http://schemas.openxmlformats.org/officeDocument/2006/relationships/hyperlink" Target="https://www.sunsirs.com/uk/detail_news-34894.html" TargetMode="External"/><Relationship Id="rId20" Type="http://schemas.openxmlformats.org/officeDocument/2006/relationships/hyperlink" Target="https://www.cmegroup.com/newsletters/battery-metals-report/files/260731-battery-metals-market-update.pdf" TargetMode="External"/><Relationship Id="rId21" Type="http://schemas.openxmlformats.org/officeDocument/2006/relationships/hyperlink" Target="https://www.cmegroup.com/newsletters/battery-metals-report/files/260731-battery-metals-market-update.pdf" TargetMode="External"/><Relationship Id="rId22" Type="http://schemas.openxmlformats.org/officeDocument/2006/relationships/hyperlink" Target="https://www.westmetall.com/en/markdaten.php?action=table&amp;field=LME_Ni_cash" TargetMode="External"/><Relationship Id="rId23" Type="http://schemas.openxmlformats.org/officeDocument/2006/relationships/hyperlink" Target="https://www.sunsirs.com/uk/detail_news-34932.html" TargetMode="External"/><Relationship Id="rId24" Type="http://schemas.openxmlformats.org/officeDocument/2006/relationships/hyperlink" Target="https://www.eia.gov/dnav/pet/hist_xls/RBRTEd.xls" TargetMode="External"/><Relationship Id="rId25" Type="http://schemas.openxmlformats.org/officeDocument/2006/relationships/hyperlink" Target="https://www.sunsirs.com/uk/detail_news-34941.html" TargetMode="External"/><Relationship Id="rId26" Type="http://schemas.openxmlformats.org/officeDocument/2006/relationships/hyperlink" Target="https://www.eia.gov/dnav/pet/hist_xls/RBRTEd.xls" TargetMode="External"/><Relationship Id="rId27" Type="http://schemas.openxmlformats.org/officeDocument/2006/relationships/hyperlink" Target="https://news.metal.com/en/newscontent/104033906-most-silicone-monomer-enterprises-suspended-quotes-dmc-prices-rebounded-smm-silicone-weekly-review" TargetMode="External"/><Relationship Id="rId28" Type="http://schemas.openxmlformats.org/officeDocument/2006/relationships/hyperlink" Target="https://thedocs.worldbank.org/en/doc/74e8be41ceb20fa0da750cda2f6b9e4e-0050012026/related/CMO-Pink-Sheet-August-2026.pdf" TargetMode="External"/><Relationship Id="rId29" Type="http://schemas.openxmlformats.org/officeDocument/2006/relationships/hyperlink" Target="https://thedocs.worldbank.org/en/doc/74e8be41ceb20fa0da750cda2f6b9e4e-0050012026/related/CMO-Pink-Sheet-August-2026.pdf" TargetMode="External"/><Relationship Id="rId30" Type="http://schemas.openxmlformats.org/officeDocument/2006/relationships/hyperlink" Target="https://thedocs.worldbank.org/en/doc/74e8be41ceb20fa0da750cda2f6b9e4e-0050012026/related/CMO-Pink-Sheet-August-2026.pdf" TargetMode="External"/><Relationship Id="rId31" Type="http://schemas.openxmlformats.org/officeDocument/2006/relationships/hyperlink" Target="https://thedocs.worldbank.org/en/doc/74e8be41ceb20fa0da750cda2f6b9e4e-0050012026/related/CMO-Pink-Sheet-August-2026.pdf" TargetMode="External"/><Relationship Id="rId32" Type="http://schemas.openxmlformats.org/officeDocument/2006/relationships/hyperlink" Target="https://thedocs.worldbank.org/en/doc/74e8be41ceb20fa0da750cda2f6b9e4e-0050012026/related/CMO-Pink-Sheet-August-2026.pdf" TargetMode="External"/><Relationship Id="rId33" Type="http://schemas.openxmlformats.org/officeDocument/2006/relationships/hyperlink" Target="https://thedocs.worldbank.org/en/doc/74e8be41ceb20fa0da750cda2f6b9e4e-0050012026/related/CMO-Pink-Sheet-August-2026.pdf" TargetMode="External"/><Relationship Id="rId34" Type="http://schemas.openxmlformats.org/officeDocument/2006/relationships/hyperlink" Target="https://www.indexbox.io/blog/eu-dairy-commodity-prices-butter-up-15-smp-down-46-as-of-july-2026/" TargetMode="External"/><Relationship Id="rId35" Type="http://schemas.openxmlformats.org/officeDocument/2006/relationships/hyperlink" Target="https://thedocs.worldbank.org/en/doc/74e8be41ceb20fa0da750cda2f6b9e4e-0050012026/related/CMO-Pink-Sheet-August-2026.pdf" TargetMode="External"/><Relationship Id="rId36" Type="http://schemas.openxmlformats.org/officeDocument/2006/relationships/hyperlink" Target="https://www.newsis.com/view/NISX20260805_0003737313" TargetMode="External"/><Relationship Id="rId37" Type="http://schemas.openxmlformats.org/officeDocument/2006/relationships/hyperlink" Target="https://www.fnnews.com/news/202605151625078159" TargetMode="External"/><Relationship Id="rId38" Type="http://schemas.openxmlformats.org/officeDocument/2006/relationships/hyperlink" Target="https://thedocs.worldbank.org/en/doc/74e8be41ceb20fa0da750cda2f6b9e4e-0050012026/related/CMO-Pink-Sheet-August-2026.pdf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t.co.kr/economy/2026/07/31/2026073115373095223" TargetMode="External"/><Relationship Id="rId2" Type="http://schemas.openxmlformats.org/officeDocument/2006/relationships/hyperlink" Target="https://murc-kawasesouba.jp/fx/past/index.php?id=26073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20.1" hidden="false" customHeight="false" outlineLevel="0" collapsed="false">
      <c r="A1" s="3" t="s">
        <v>9</v>
      </c>
    </row>
    <row r="2" customFormat="false" ht="15" hidden="false" customHeight="false" outlineLevel="0" collapsed="false">
      <c r="A2" s="4" t="s">
        <v>10</v>
      </c>
    </row>
    <row r="4" customFormat="false" ht="36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</row>
    <row r="5" customFormat="false" ht="44" hidden="false" customHeight="false" outlineLevel="0" collapsed="false">
      <c r="A5" s="6" t="n">
        <v>1</v>
      </c>
      <c r="B5" s="7" t="s">
        <v>20</v>
      </c>
      <c r="C5" s="7" t="s">
        <v>21</v>
      </c>
      <c r="D5" s="8" t="n">
        <v>7.24</v>
      </c>
      <c r="E5" s="9" t="n">
        <f aca="false">IF('계산 근거'!J2="","",'계산 근거'!J2)</f>
        <v>16.237872</v>
      </c>
      <c r="F5" s="7" t="s">
        <v>22</v>
      </c>
      <c r="G5" s="10" t="s">
        <v>23</v>
      </c>
      <c r="H5" s="6" t="s">
        <v>24</v>
      </c>
      <c r="I5" s="7" t="s">
        <v>25</v>
      </c>
    </row>
    <row r="6" customFormat="false" ht="29.85" hidden="false" customHeight="false" outlineLevel="0" collapsed="false">
      <c r="A6" s="6" t="n">
        <v>2</v>
      </c>
      <c r="B6" s="7" t="s">
        <v>26</v>
      </c>
      <c r="C6" s="7" t="s">
        <v>27</v>
      </c>
      <c r="D6" s="8" t="n">
        <v>9.6</v>
      </c>
      <c r="E6" s="9" t="n">
        <f aca="false">IF('계산 근거'!J3="","",'계산 근거'!J3)</f>
        <v>15.3792</v>
      </c>
      <c r="F6" s="7" t="s">
        <v>28</v>
      </c>
      <c r="G6" s="10" t="s">
        <v>29</v>
      </c>
      <c r="H6" s="6" t="s">
        <v>24</v>
      </c>
      <c r="I6" s="7" t="s">
        <v>30</v>
      </c>
    </row>
    <row r="7" customFormat="false" ht="27.6" hidden="false" customHeight="false" outlineLevel="0" collapsed="false">
      <c r="A7" s="6" t="n">
        <v>3</v>
      </c>
      <c r="B7" s="7" t="s">
        <v>31</v>
      </c>
      <c r="C7" s="7" t="s">
        <v>32</v>
      </c>
      <c r="D7" s="11" t="n">
        <v>1924</v>
      </c>
      <c r="E7" s="9" t="n">
        <f aca="false">IF('계산 근거'!J4="","",'계산 근거'!J4)</f>
        <v>1.8493488</v>
      </c>
      <c r="F7" s="7" t="s">
        <v>33</v>
      </c>
      <c r="G7" s="12" t="s">
        <v>34</v>
      </c>
      <c r="H7" s="6" t="s">
        <v>24</v>
      </c>
      <c r="I7" s="7" t="s">
        <v>35</v>
      </c>
    </row>
    <row r="8" customFormat="false" ht="44" hidden="false" customHeight="false" outlineLevel="0" collapsed="false">
      <c r="A8" s="6" t="n">
        <v>4</v>
      </c>
      <c r="B8" s="7" t="s">
        <v>36</v>
      </c>
      <c r="C8" s="7" t="s">
        <v>37</v>
      </c>
      <c r="D8" s="13" t="n">
        <v>1377.5</v>
      </c>
      <c r="E8" s="9" t="n">
        <f aca="false">IF('계산 근거'!J5="","",'계산 근거'!J5)</f>
        <v>1.0592424</v>
      </c>
      <c r="F8" s="7" t="s">
        <v>38</v>
      </c>
      <c r="G8" s="10" t="s">
        <v>39</v>
      </c>
      <c r="H8" s="6" t="s">
        <v>24</v>
      </c>
      <c r="I8" s="7" t="s">
        <v>40</v>
      </c>
    </row>
    <row r="9" customFormat="false" ht="29.85" hidden="false" customHeight="false" outlineLevel="0" collapsed="false">
      <c r="A9" s="6" t="n">
        <v>5</v>
      </c>
      <c r="B9" s="7" t="s">
        <v>41</v>
      </c>
      <c r="C9" s="7" t="s">
        <v>42</v>
      </c>
      <c r="D9" s="8" t="n">
        <v>14.75</v>
      </c>
      <c r="E9" s="9" t="n">
        <f aca="false">IF('계산 근거'!J6="","",'계산 근거'!J6)</f>
        <v>7.56144</v>
      </c>
      <c r="F9" s="7" t="s">
        <v>43</v>
      </c>
      <c r="G9" s="10" t="s">
        <v>44</v>
      </c>
      <c r="H9" s="6" t="s">
        <v>24</v>
      </c>
      <c r="I9" s="7" t="s">
        <v>45</v>
      </c>
    </row>
    <row r="10" customFormat="false" ht="29.85" hidden="false" customHeight="false" outlineLevel="0" collapsed="false">
      <c r="A10" s="6" t="n">
        <v>6</v>
      </c>
      <c r="B10" s="7" t="s">
        <v>46</v>
      </c>
      <c r="C10" s="7" t="s">
        <v>47</v>
      </c>
      <c r="D10" s="8" t="n">
        <v>16.4</v>
      </c>
      <c r="E10" s="9" t="n">
        <f aca="false">IF('계산 근거'!J7="","",'계산 근거'!J7)</f>
        <v>4.729104</v>
      </c>
      <c r="F10" s="7" t="s">
        <v>48</v>
      </c>
      <c r="G10" s="10" t="s">
        <v>49</v>
      </c>
      <c r="H10" s="6" t="s">
        <v>24</v>
      </c>
      <c r="I10" s="7" t="s">
        <v>50</v>
      </c>
    </row>
    <row r="11" customFormat="false" ht="27.6" hidden="false" customHeight="false" outlineLevel="0" collapsed="false">
      <c r="A11" s="6" t="n">
        <v>7</v>
      </c>
      <c r="B11" s="7" t="s">
        <v>51</v>
      </c>
      <c r="C11" s="7" t="s">
        <v>52</v>
      </c>
      <c r="D11" s="14"/>
      <c r="E11" s="9" t="str">
        <f aca="false">IF('계산 근거'!J8="","",'계산 근거'!J8)</f>
        <v/>
      </c>
      <c r="F11" s="7" t="s">
        <v>53</v>
      </c>
      <c r="G11" s="6" t="s">
        <v>54</v>
      </c>
      <c r="H11" s="6" t="s">
        <v>54</v>
      </c>
      <c r="I11" s="7" t="s">
        <v>55</v>
      </c>
    </row>
    <row r="12" customFormat="false" ht="29.85" hidden="false" customHeight="false" outlineLevel="0" collapsed="false">
      <c r="A12" s="6" t="n">
        <v>8</v>
      </c>
      <c r="B12" s="7" t="s">
        <v>56</v>
      </c>
      <c r="C12" s="7" t="s">
        <v>57</v>
      </c>
      <c r="D12" s="15" t="n">
        <v>8973.33</v>
      </c>
      <c r="E12" s="9" t="n">
        <f aca="false">IF('계산 근거'!J9="","",'계산 근거'!J9)</f>
        <v>9.46505419099055</v>
      </c>
      <c r="F12" s="7" t="s">
        <v>58</v>
      </c>
      <c r="G12" s="10" t="s">
        <v>59</v>
      </c>
      <c r="H12" s="6" t="s">
        <v>60</v>
      </c>
      <c r="I12" s="7" t="s">
        <v>61</v>
      </c>
    </row>
    <row r="13" customFormat="false" ht="44" hidden="false" customHeight="false" outlineLevel="0" collapsed="false">
      <c r="A13" s="6" t="n">
        <v>9</v>
      </c>
      <c r="B13" s="7" t="s">
        <v>62</v>
      </c>
      <c r="C13" s="7" t="s">
        <v>63</v>
      </c>
      <c r="D13" s="16" t="n">
        <v>96.95</v>
      </c>
      <c r="E13" s="17" t="n">
        <f aca="false">IF('계산 근거'!J10="","",'계산 근거'!J10)</f>
        <v>10.1214662756598</v>
      </c>
      <c r="F13" s="7" t="s">
        <v>64</v>
      </c>
      <c r="G13" s="12" t="s">
        <v>65</v>
      </c>
      <c r="H13" s="6" t="s">
        <v>24</v>
      </c>
      <c r="I13" s="7" t="s">
        <v>66</v>
      </c>
    </row>
    <row r="14" customFormat="false" ht="15" hidden="false" customHeight="true" outlineLevel="0" collapsed="false">
      <c r="A14" s="18"/>
      <c r="B14" s="19" t="s">
        <v>67</v>
      </c>
      <c r="C14" s="19"/>
      <c r="D14" s="19"/>
      <c r="E14" s="20" t="n">
        <f aca="false">SUM(E5,E6,E7,E8,E9,E10,E11,E12)</f>
        <v>56.2812613909905</v>
      </c>
      <c r="F14" s="19" t="s">
        <v>68</v>
      </c>
      <c r="G14" s="18"/>
      <c r="H14" s="18"/>
      <c r="I14" s="19" t="s">
        <v>69</v>
      </c>
    </row>
    <row r="15" customFormat="false" ht="27.6" hidden="false" customHeight="false" outlineLevel="0" collapsed="false">
      <c r="A15" s="6" t="n">
        <v>10</v>
      </c>
      <c r="B15" s="7" t="s">
        <v>70</v>
      </c>
      <c r="C15" s="7" t="s">
        <v>71</v>
      </c>
      <c r="D15" s="15" t="n">
        <v>8973.33</v>
      </c>
      <c r="E15" s="9" t="n">
        <f aca="false">IF('계산 근거'!J11="","",'계산 근거'!J11)</f>
        <v>113.580650291887</v>
      </c>
      <c r="F15" s="7" t="s">
        <v>72</v>
      </c>
      <c r="G15" s="10" t="s">
        <v>59</v>
      </c>
      <c r="H15" s="6" t="s">
        <v>60</v>
      </c>
      <c r="I15" s="7" t="s">
        <v>73</v>
      </c>
    </row>
    <row r="16" customFormat="false" ht="29.85" hidden="false" customHeight="false" outlineLevel="0" collapsed="false">
      <c r="A16" s="6" t="n">
        <v>11</v>
      </c>
      <c r="B16" s="7" t="s">
        <v>74</v>
      </c>
      <c r="C16" s="7" t="s">
        <v>75</v>
      </c>
      <c r="D16" s="16" t="n">
        <v>96.95</v>
      </c>
      <c r="E16" s="17" t="n">
        <f aca="false">IF('계산 근거'!J12="","",'계산 근거'!J12)</f>
        <v>121.457595307918</v>
      </c>
      <c r="F16" s="7" t="s">
        <v>76</v>
      </c>
      <c r="G16" s="12" t="s">
        <v>65</v>
      </c>
      <c r="H16" s="6" t="s">
        <v>24</v>
      </c>
      <c r="I16" s="7" t="s">
        <v>77</v>
      </c>
    </row>
    <row r="17" customFormat="false" ht="29.85" hidden="false" customHeight="false" outlineLevel="0" collapsed="false">
      <c r="A17" s="6" t="n">
        <v>12</v>
      </c>
      <c r="B17" s="7" t="s">
        <v>78</v>
      </c>
      <c r="C17" s="7" t="s">
        <v>79</v>
      </c>
      <c r="D17" s="21" t="n">
        <v>7558</v>
      </c>
      <c r="E17" s="9" t="n">
        <f aca="false">IF('계산 근거'!J13="","",'계산 근거'!J13)</f>
        <v>1.91331992672972</v>
      </c>
      <c r="F17" s="7" t="s">
        <v>80</v>
      </c>
      <c r="G17" s="10" t="s">
        <v>81</v>
      </c>
      <c r="H17" s="6" t="s">
        <v>60</v>
      </c>
      <c r="I17" s="7" t="s">
        <v>82</v>
      </c>
    </row>
    <row r="18" customFormat="false" ht="29.85" hidden="false" customHeight="false" outlineLevel="0" collapsed="false">
      <c r="A18" s="6" t="n">
        <v>13</v>
      </c>
      <c r="B18" s="7" t="s">
        <v>83</v>
      </c>
      <c r="C18" s="7" t="s">
        <v>84</v>
      </c>
      <c r="D18" s="14"/>
      <c r="E18" s="9" t="str">
        <f aca="false">IF('계산 근거'!J14="","",'계산 근거'!J14)</f>
        <v/>
      </c>
      <c r="F18" s="7" t="s">
        <v>85</v>
      </c>
      <c r="G18" s="6" t="s">
        <v>54</v>
      </c>
      <c r="H18" s="6" t="s">
        <v>54</v>
      </c>
      <c r="I18" s="7" t="s">
        <v>86</v>
      </c>
    </row>
    <row r="19" customFormat="false" ht="29.85" hidden="false" customHeight="true" outlineLevel="0" collapsed="false">
      <c r="A19" s="18"/>
      <c r="B19" s="19" t="s">
        <v>87</v>
      </c>
      <c r="C19" s="19"/>
      <c r="D19" s="19"/>
      <c r="E19" s="20" t="n">
        <f aca="false">SUM(E15,E17,E18)</f>
        <v>115.493970218616</v>
      </c>
      <c r="F19" s="19" t="s">
        <v>88</v>
      </c>
      <c r="G19" s="18"/>
      <c r="H19" s="18"/>
      <c r="I19" s="19" t="s">
        <v>89</v>
      </c>
    </row>
    <row r="20" customFormat="false" ht="44" hidden="false" customHeight="false" outlineLevel="0" collapsed="false">
      <c r="A20" s="6" t="n">
        <v>14</v>
      </c>
      <c r="B20" s="7" t="s">
        <v>90</v>
      </c>
      <c r="C20" s="7" t="s">
        <v>27</v>
      </c>
      <c r="D20" s="21" t="n">
        <v>8800</v>
      </c>
      <c r="E20" s="9" t="n">
        <f aca="false">IF('계산 근거'!J15="","",'계산 근거'!J15)</f>
        <v>111.386711796914</v>
      </c>
      <c r="F20" s="7" t="s">
        <v>91</v>
      </c>
      <c r="G20" s="10" t="s">
        <v>92</v>
      </c>
      <c r="H20" s="6" t="s">
        <v>60</v>
      </c>
      <c r="I20" s="7" t="s">
        <v>93</v>
      </c>
    </row>
    <row r="21" customFormat="false" ht="29.85" hidden="false" customHeight="false" outlineLevel="0" collapsed="false">
      <c r="A21" s="6" t="n">
        <v>15</v>
      </c>
      <c r="B21" s="7" t="s">
        <v>94</v>
      </c>
      <c r="C21" s="7" t="s">
        <v>95</v>
      </c>
      <c r="D21" s="15" t="n">
        <v>17866.67</v>
      </c>
      <c r="E21" s="9" t="n">
        <f aca="false">IF('계산 근거'!J16="","",'계산 근거'!J16)</f>
        <v>150.765880459134</v>
      </c>
      <c r="F21" s="7" t="s">
        <v>96</v>
      </c>
      <c r="G21" s="10" t="s">
        <v>97</v>
      </c>
      <c r="H21" s="6" t="s">
        <v>60</v>
      </c>
      <c r="I21" s="7" t="s">
        <v>98</v>
      </c>
    </row>
    <row r="22" customFormat="false" ht="29.85" hidden="false" customHeight="false" outlineLevel="0" collapsed="false">
      <c r="A22" s="6" t="n">
        <v>16</v>
      </c>
      <c r="B22" s="7" t="s">
        <v>99</v>
      </c>
      <c r="C22" s="7" t="s">
        <v>100</v>
      </c>
      <c r="D22" s="21" t="n">
        <v>9050</v>
      </c>
      <c r="E22" s="9" t="n">
        <f aca="false">IF('계산 근거'!J17="","",'계산 근거'!J17)</f>
        <v>57.2755535092086</v>
      </c>
      <c r="F22" s="7" t="s">
        <v>101</v>
      </c>
      <c r="G22" s="10" t="s">
        <v>92</v>
      </c>
      <c r="H22" s="6" t="s">
        <v>60</v>
      </c>
      <c r="I22" s="7" t="s">
        <v>102</v>
      </c>
    </row>
    <row r="23" customFormat="false" ht="29.85" hidden="false" customHeight="false" outlineLevel="0" collapsed="false">
      <c r="A23" s="6" t="n">
        <v>17</v>
      </c>
      <c r="B23" s="7" t="s">
        <v>103</v>
      </c>
      <c r="C23" s="7" t="s">
        <v>104</v>
      </c>
      <c r="D23" s="21" t="n">
        <v>10066</v>
      </c>
      <c r="E23" s="9" t="n">
        <f aca="false">IF('계산 근거'!J18="","",'계산 근거'!J18)</f>
        <v>212.35201533101</v>
      </c>
      <c r="F23" s="7" t="s">
        <v>105</v>
      </c>
      <c r="G23" s="10" t="s">
        <v>106</v>
      </c>
      <c r="H23" s="6" t="s">
        <v>60</v>
      </c>
      <c r="I23" s="7" t="s">
        <v>107</v>
      </c>
    </row>
    <row r="24" customFormat="false" ht="29.85" hidden="false" customHeight="false" outlineLevel="0" collapsed="false">
      <c r="A24" s="6" t="n">
        <v>18</v>
      </c>
      <c r="B24" s="7" t="s">
        <v>108</v>
      </c>
      <c r="C24" s="7" t="s">
        <v>109</v>
      </c>
      <c r="D24" s="11" t="n">
        <v>2155</v>
      </c>
      <c r="E24" s="9" t="n">
        <f aca="false">IF('계산 근거'!J19="","",'계산 근거'!J19)</f>
        <v>138.0924</v>
      </c>
      <c r="F24" s="7" t="s">
        <v>110</v>
      </c>
      <c r="G24" s="12" t="s">
        <v>111</v>
      </c>
      <c r="H24" s="6" t="s">
        <v>24</v>
      </c>
      <c r="I24" s="7" t="s">
        <v>112</v>
      </c>
    </row>
    <row r="25" customFormat="false" ht="29.85" hidden="false" customHeight="false" outlineLevel="0" collapsed="false">
      <c r="A25" s="6" t="n">
        <v>19</v>
      </c>
      <c r="B25" s="7" t="s">
        <v>113</v>
      </c>
      <c r="C25" s="7" t="s">
        <v>104</v>
      </c>
      <c r="D25" s="21" t="n">
        <v>13300</v>
      </c>
      <c r="E25" s="9" t="n">
        <f aca="false">IF('계산 근거'!J20="","",'계산 근거'!J20)</f>
        <v>294.605195121951</v>
      </c>
      <c r="F25" s="7" t="s">
        <v>114</v>
      </c>
      <c r="G25" s="12" t="s">
        <v>111</v>
      </c>
      <c r="H25" s="6" t="s">
        <v>60</v>
      </c>
      <c r="I25" s="7" t="s">
        <v>115</v>
      </c>
    </row>
    <row r="26" customFormat="false" ht="15" hidden="false" customHeight="true" outlineLevel="0" collapsed="false">
      <c r="A26" s="18"/>
      <c r="B26" s="19" t="s">
        <v>116</v>
      </c>
      <c r="C26" s="19"/>
      <c r="D26" s="19"/>
      <c r="E26" s="20" t="n">
        <f aca="false">SUM(E20,E21,E22,E23,E24,E25)</f>
        <v>964.477756218218</v>
      </c>
      <c r="F26" s="19" t="s">
        <v>117</v>
      </c>
      <c r="G26" s="18"/>
      <c r="H26" s="18"/>
      <c r="I26" s="19" t="s">
        <v>118</v>
      </c>
    </row>
    <row r="27" customFormat="false" ht="29.85" hidden="false" customHeight="false" outlineLevel="0" collapsed="false">
      <c r="A27" s="6" t="n">
        <v>20</v>
      </c>
      <c r="B27" s="7" t="s">
        <v>119</v>
      </c>
      <c r="C27" s="7" t="s">
        <v>120</v>
      </c>
      <c r="D27" s="8" t="n">
        <v>1.96</v>
      </c>
      <c r="E27" s="9" t="n">
        <f aca="false">IF('계산 근거'!J21="","",'계산 근거'!J21)</f>
        <v>1339.6992</v>
      </c>
      <c r="F27" s="7" t="s">
        <v>121</v>
      </c>
      <c r="G27" s="12" t="s">
        <v>34</v>
      </c>
      <c r="H27" s="6" t="s">
        <v>24</v>
      </c>
      <c r="I27" s="7" t="s">
        <v>122</v>
      </c>
    </row>
    <row r="28" customFormat="false" ht="29.85" hidden="false" customHeight="false" outlineLevel="0" collapsed="false">
      <c r="A28" s="6" t="n">
        <v>21</v>
      </c>
      <c r="B28" s="7" t="s">
        <v>123</v>
      </c>
      <c r="C28" s="7" t="s">
        <v>124</v>
      </c>
      <c r="D28" s="21" t="n">
        <v>7558</v>
      </c>
      <c r="E28" s="9" t="n">
        <f aca="false">IF('계산 근거'!J22="","",'계산 근거'!J22)</f>
        <v>191.331992672972</v>
      </c>
      <c r="F28" s="7" t="s">
        <v>125</v>
      </c>
      <c r="G28" s="10" t="s">
        <v>81</v>
      </c>
      <c r="H28" s="6" t="s">
        <v>60</v>
      </c>
      <c r="I28" s="7" t="s">
        <v>126</v>
      </c>
    </row>
    <row r="29" customFormat="false" ht="15" hidden="false" customHeight="true" outlineLevel="0" collapsed="false">
      <c r="A29" s="18"/>
      <c r="B29" s="19" t="s">
        <v>127</v>
      </c>
      <c r="C29" s="19"/>
      <c r="D29" s="19"/>
      <c r="E29" s="20" t="n">
        <f aca="false">SUM(E27,E28)</f>
        <v>1531.03119267297</v>
      </c>
      <c r="F29" s="19" t="s">
        <v>128</v>
      </c>
      <c r="G29" s="18"/>
      <c r="H29" s="18"/>
      <c r="I29" s="19" t="s">
        <v>129</v>
      </c>
    </row>
    <row r="30" customFormat="false" ht="29.85" hidden="false" customHeight="false" outlineLevel="0" collapsed="false">
      <c r="A30" s="6" t="n">
        <v>22</v>
      </c>
      <c r="B30" s="7" t="s">
        <v>130</v>
      </c>
      <c r="C30" s="7" t="s">
        <v>131</v>
      </c>
      <c r="D30" s="21" t="n">
        <v>143350</v>
      </c>
      <c r="E30" s="9" t="n">
        <f aca="false">IF('계산 근거'!J23="","",'계산 근거'!J23)</f>
        <v>39.313391433549</v>
      </c>
      <c r="F30" s="7" t="s">
        <v>132</v>
      </c>
      <c r="G30" s="10" t="s">
        <v>133</v>
      </c>
      <c r="H30" s="6" t="s">
        <v>60</v>
      </c>
      <c r="I30" s="7" t="s">
        <v>134</v>
      </c>
    </row>
    <row r="31" customFormat="false" ht="29.85" hidden="false" customHeight="false" outlineLevel="0" collapsed="false">
      <c r="A31" s="6" t="n">
        <v>23</v>
      </c>
      <c r="B31" s="7" t="s">
        <v>135</v>
      </c>
      <c r="C31" s="7" t="s">
        <v>136</v>
      </c>
      <c r="D31" s="22" t="n">
        <v>26.2</v>
      </c>
      <c r="E31" s="9" t="n">
        <f aca="false">IF('계산 근거'!J24="","",'계산 근거'!J24)</f>
        <v>148.0531079808</v>
      </c>
      <c r="F31" s="7" t="s">
        <v>137</v>
      </c>
      <c r="G31" s="10" t="s">
        <v>133</v>
      </c>
      <c r="H31" s="6" t="s">
        <v>24</v>
      </c>
      <c r="I31" s="7" t="s">
        <v>138</v>
      </c>
    </row>
    <row r="32" customFormat="false" ht="29.85" hidden="false" customHeight="false" outlineLevel="0" collapsed="false">
      <c r="A32" s="6" t="n">
        <v>24</v>
      </c>
      <c r="B32" s="7" t="s">
        <v>139</v>
      </c>
      <c r="C32" s="7" t="s">
        <v>140</v>
      </c>
      <c r="D32" s="11" t="n">
        <v>17100</v>
      </c>
      <c r="E32" s="9" t="n">
        <f aca="false">IF('계산 근거'!J25="","",'계산 근거'!J25)</f>
        <v>12.1752</v>
      </c>
      <c r="F32" s="7" t="s">
        <v>141</v>
      </c>
      <c r="G32" s="10" t="s">
        <v>142</v>
      </c>
      <c r="H32" s="6" t="s">
        <v>24</v>
      </c>
      <c r="I32" s="7" t="s">
        <v>143</v>
      </c>
    </row>
    <row r="33" customFormat="false" ht="29.85" hidden="false" customHeight="false" outlineLevel="0" collapsed="false">
      <c r="A33" s="6" t="n">
        <v>25</v>
      </c>
      <c r="B33" s="7" t="s">
        <v>144</v>
      </c>
      <c r="C33" s="7" t="s">
        <v>27</v>
      </c>
      <c r="D33" s="14"/>
      <c r="E33" s="9" t="str">
        <f aca="false">IF('계산 근거'!J26="","",'계산 근거'!J26)</f>
        <v/>
      </c>
      <c r="F33" s="7" t="s">
        <v>145</v>
      </c>
      <c r="G33" s="6" t="s">
        <v>54</v>
      </c>
      <c r="H33" s="6" t="s">
        <v>54</v>
      </c>
      <c r="I33" s="7" t="s">
        <v>146</v>
      </c>
    </row>
    <row r="34" customFormat="false" ht="27.6" hidden="false" customHeight="false" outlineLevel="0" collapsed="false">
      <c r="A34" s="6" t="n">
        <v>26</v>
      </c>
      <c r="B34" s="7" t="s">
        <v>147</v>
      </c>
      <c r="C34" s="7" t="s">
        <v>71</v>
      </c>
      <c r="D34" s="15" t="n">
        <v>9616.67</v>
      </c>
      <c r="E34" s="9" t="n">
        <f aca="false">IF('계산 근거'!J27="","",'계산 근거'!J27)</f>
        <v>20.2872963965157</v>
      </c>
      <c r="F34" s="7" t="s">
        <v>148</v>
      </c>
      <c r="G34" s="10" t="s">
        <v>149</v>
      </c>
      <c r="H34" s="6" t="s">
        <v>60</v>
      </c>
      <c r="I34" s="7" t="s">
        <v>150</v>
      </c>
    </row>
    <row r="35" customFormat="false" ht="29.85" hidden="false" customHeight="false" outlineLevel="0" collapsed="false">
      <c r="A35" s="6" t="n">
        <v>27</v>
      </c>
      <c r="B35" s="7" t="s">
        <v>151</v>
      </c>
      <c r="C35" s="7" t="s">
        <v>63</v>
      </c>
      <c r="D35" s="16" t="n">
        <v>96.95</v>
      </c>
      <c r="E35" s="17" t="n">
        <f aca="false">IF('계산 근거'!J28="","",'계산 근거'!J28)</f>
        <v>20.2429325513196</v>
      </c>
      <c r="F35" s="7" t="s">
        <v>152</v>
      </c>
      <c r="G35" s="12" t="s">
        <v>65</v>
      </c>
      <c r="H35" s="6" t="s">
        <v>24</v>
      </c>
      <c r="I35" s="7" t="s">
        <v>153</v>
      </c>
    </row>
    <row r="36" customFormat="false" ht="27.6" hidden="false" customHeight="false" outlineLevel="0" collapsed="false">
      <c r="A36" s="6" t="n">
        <v>28</v>
      </c>
      <c r="B36" s="7" t="s">
        <v>154</v>
      </c>
      <c r="C36" s="7" t="s">
        <v>100</v>
      </c>
      <c r="D36" s="15" t="n">
        <v>13983.33</v>
      </c>
      <c r="E36" s="9" t="n">
        <f aca="false">IF('계산 근거'!J29="","",'계산 근거'!J29)</f>
        <v>23.5993507374415</v>
      </c>
      <c r="F36" s="7" t="s">
        <v>155</v>
      </c>
      <c r="G36" s="10" t="s">
        <v>156</v>
      </c>
      <c r="H36" s="6" t="s">
        <v>60</v>
      </c>
      <c r="I36" s="7" t="s">
        <v>157</v>
      </c>
    </row>
    <row r="37" customFormat="false" ht="29.85" hidden="false" customHeight="false" outlineLevel="0" collapsed="false">
      <c r="A37" s="6" t="n">
        <v>29</v>
      </c>
      <c r="B37" s="7" t="s">
        <v>158</v>
      </c>
      <c r="C37" s="7" t="s">
        <v>159</v>
      </c>
      <c r="D37" s="16" t="n">
        <v>96.95</v>
      </c>
      <c r="E37" s="17" t="n">
        <f aca="false">IF('계산 근거'!J30="","",'계산 근거'!J30)</f>
        <v>16.1943460410557</v>
      </c>
      <c r="F37" s="7" t="s">
        <v>160</v>
      </c>
      <c r="G37" s="12" t="s">
        <v>65</v>
      </c>
      <c r="H37" s="6" t="s">
        <v>24</v>
      </c>
      <c r="I37" s="7" t="s">
        <v>153</v>
      </c>
    </row>
    <row r="38" customFormat="false" ht="44" hidden="false" customHeight="false" outlineLevel="0" collapsed="false">
      <c r="A38" s="6" t="n">
        <v>30</v>
      </c>
      <c r="B38" s="7" t="s">
        <v>161</v>
      </c>
      <c r="C38" s="7" t="s">
        <v>162</v>
      </c>
      <c r="D38" s="21" t="n">
        <v>12650</v>
      </c>
      <c r="E38" s="9" t="n">
        <f aca="false">IF('계산 근거'!J31="","",'계산 근거'!J31)</f>
        <v>5.33727994026879</v>
      </c>
      <c r="F38" s="7" t="s">
        <v>163</v>
      </c>
      <c r="G38" s="10" t="s">
        <v>164</v>
      </c>
      <c r="H38" s="6" t="s">
        <v>60</v>
      </c>
      <c r="I38" s="7" t="s">
        <v>165</v>
      </c>
    </row>
    <row r="39" customFormat="false" ht="15" hidden="false" customHeight="true" outlineLevel="0" collapsed="false">
      <c r="A39" s="18"/>
      <c r="B39" s="19" t="s">
        <v>166</v>
      </c>
      <c r="C39" s="19"/>
      <c r="D39" s="19"/>
      <c r="E39" s="20" t="n">
        <f aca="false">SUM(E30,E31,E32,E33,E34,E36,E38)</f>
        <v>248.765626488575</v>
      </c>
      <c r="F39" s="19" t="s">
        <v>167</v>
      </c>
      <c r="G39" s="18"/>
      <c r="H39" s="18"/>
      <c r="I39" s="19" t="s">
        <v>168</v>
      </c>
    </row>
    <row r="40" customFormat="false" ht="29.85" hidden="false" customHeight="false" outlineLevel="0" collapsed="false">
      <c r="A40" s="6" t="n">
        <v>31</v>
      </c>
      <c r="B40" s="7" t="s">
        <v>169</v>
      </c>
      <c r="C40" s="7" t="s">
        <v>170</v>
      </c>
      <c r="D40" s="11" t="n">
        <v>310</v>
      </c>
      <c r="E40" s="9" t="n">
        <f aca="false">IF('계산 근거'!J32="","",'계산 근거'!J32)</f>
        <v>27.81072</v>
      </c>
      <c r="F40" s="7" t="s">
        <v>171</v>
      </c>
      <c r="G40" s="12" t="s">
        <v>34</v>
      </c>
      <c r="H40" s="6" t="s">
        <v>24</v>
      </c>
      <c r="I40" s="7" t="s">
        <v>172</v>
      </c>
    </row>
    <row r="41" customFormat="false" ht="29.85" hidden="false" customHeight="false" outlineLevel="0" collapsed="false">
      <c r="A41" s="6" t="n">
        <v>32</v>
      </c>
      <c r="B41" s="7" t="s">
        <v>173</v>
      </c>
      <c r="C41" s="7" t="s">
        <v>174</v>
      </c>
      <c r="D41" s="8" t="n">
        <v>5.61</v>
      </c>
      <c r="E41" s="9" t="n">
        <f aca="false">IF('계산 근거'!J33="","",'계산 근거'!J33)</f>
        <v>115.036416</v>
      </c>
      <c r="F41" s="7" t="s">
        <v>175</v>
      </c>
      <c r="G41" s="12" t="s">
        <v>34</v>
      </c>
      <c r="H41" s="6" t="s">
        <v>24</v>
      </c>
      <c r="I41" s="7" t="s">
        <v>176</v>
      </c>
    </row>
    <row r="42" customFormat="false" ht="29.85" hidden="false" customHeight="false" outlineLevel="0" collapsed="false">
      <c r="A42" s="6" t="n">
        <v>33</v>
      </c>
      <c r="B42" s="7" t="s">
        <v>177</v>
      </c>
      <c r="C42" s="7" t="s">
        <v>178</v>
      </c>
      <c r="D42" s="8" t="n">
        <v>5.61</v>
      </c>
      <c r="E42" s="9" t="n">
        <f aca="false">IF('계산 근거'!J34="","",'계산 근거'!J34)</f>
        <v>43.138656</v>
      </c>
      <c r="F42" s="7" t="s">
        <v>179</v>
      </c>
      <c r="G42" s="12" t="s">
        <v>34</v>
      </c>
      <c r="H42" s="6" t="s">
        <v>24</v>
      </c>
      <c r="I42" s="7" t="s">
        <v>176</v>
      </c>
    </row>
    <row r="43" customFormat="false" ht="29.85" hidden="false" customHeight="false" outlineLevel="0" collapsed="false">
      <c r="A43" s="6" t="n">
        <v>34</v>
      </c>
      <c r="B43" s="7" t="s">
        <v>180</v>
      </c>
      <c r="C43" s="7" t="s">
        <v>181</v>
      </c>
      <c r="D43" s="8" t="n">
        <v>5.61</v>
      </c>
      <c r="E43" s="9" t="n">
        <f aca="false">IF('계산 근거'!J35="","",'계산 근거'!J35)</f>
        <v>43.138656</v>
      </c>
      <c r="F43" s="7" t="s">
        <v>182</v>
      </c>
      <c r="G43" s="12" t="s">
        <v>34</v>
      </c>
      <c r="H43" s="6" t="s">
        <v>24</v>
      </c>
      <c r="I43" s="7" t="s">
        <v>183</v>
      </c>
    </row>
    <row r="44" customFormat="false" ht="27.6" hidden="false" customHeight="false" outlineLevel="0" collapsed="false">
      <c r="A44" s="6" t="n">
        <v>35</v>
      </c>
      <c r="B44" s="7" t="s">
        <v>184</v>
      </c>
      <c r="C44" s="7" t="s">
        <v>185</v>
      </c>
      <c r="D44" s="8" t="n">
        <v>0.34</v>
      </c>
      <c r="E44" s="9" t="n">
        <f aca="false">IF('계산 근거'!J36="","",'계산 근거'!J36)</f>
        <v>17.42976</v>
      </c>
      <c r="F44" s="7" t="s">
        <v>186</v>
      </c>
      <c r="G44" s="12" t="s">
        <v>34</v>
      </c>
      <c r="H44" s="6" t="s">
        <v>24</v>
      </c>
      <c r="I44" s="7" t="s">
        <v>187</v>
      </c>
    </row>
    <row r="45" customFormat="false" ht="29.85" hidden="false" customHeight="false" outlineLevel="0" collapsed="false">
      <c r="A45" s="6" t="n">
        <v>36</v>
      </c>
      <c r="B45" s="7" t="s">
        <v>188</v>
      </c>
      <c r="C45" s="7" t="s">
        <v>189</v>
      </c>
      <c r="D45" s="8" t="n">
        <v>0.34</v>
      </c>
      <c r="E45" s="9" t="n">
        <f aca="false">IF('계산 근거'!J37="","",'계산 근거'!J37)</f>
        <v>7.843392</v>
      </c>
      <c r="F45" s="7" t="s">
        <v>190</v>
      </c>
      <c r="G45" s="12" t="s">
        <v>34</v>
      </c>
      <c r="H45" s="6" t="s">
        <v>24</v>
      </c>
      <c r="I45" s="7" t="s">
        <v>191</v>
      </c>
    </row>
    <row r="46" customFormat="false" ht="29.85" hidden="false" customHeight="false" outlineLevel="0" collapsed="false">
      <c r="A46" s="6" t="n">
        <v>37</v>
      </c>
      <c r="B46" s="7" t="s">
        <v>192</v>
      </c>
      <c r="C46" s="7" t="s">
        <v>193</v>
      </c>
      <c r="D46" s="23" t="n">
        <v>3960</v>
      </c>
      <c r="E46" s="9" t="n">
        <f aca="false">IF('계산 근거'!J38="","",'계산 근거'!J38)</f>
        <v>210.442573093081</v>
      </c>
      <c r="F46" s="7" t="s">
        <v>194</v>
      </c>
      <c r="G46" s="10" t="s">
        <v>195</v>
      </c>
      <c r="H46" s="6" t="s">
        <v>196</v>
      </c>
      <c r="I46" s="7" t="s">
        <v>197</v>
      </c>
    </row>
    <row r="47" customFormat="false" ht="27.6" hidden="false" customHeight="false" outlineLevel="0" collapsed="false">
      <c r="A47" s="6" t="n">
        <v>38</v>
      </c>
      <c r="B47" s="7" t="s">
        <v>198</v>
      </c>
      <c r="C47" s="7" t="s">
        <v>199</v>
      </c>
      <c r="D47" s="11" t="n">
        <v>1101</v>
      </c>
      <c r="E47" s="9" t="n">
        <f aca="false">IF('계산 근거'!J39="","",'계산 근거'!J39)</f>
        <v>22.5766656</v>
      </c>
      <c r="F47" s="7" t="s">
        <v>200</v>
      </c>
      <c r="G47" s="12" t="s">
        <v>34</v>
      </c>
      <c r="H47" s="6" t="s">
        <v>24</v>
      </c>
      <c r="I47" s="7" t="s">
        <v>201</v>
      </c>
    </row>
    <row r="48" customFormat="false" ht="44" hidden="false" customHeight="false" outlineLevel="0" collapsed="false">
      <c r="A48" s="6" t="n">
        <v>39</v>
      </c>
      <c r="B48" s="7" t="s">
        <v>202</v>
      </c>
      <c r="C48" s="7" t="s">
        <v>189</v>
      </c>
      <c r="D48" s="24" t="n">
        <v>2256</v>
      </c>
      <c r="E48" s="9" t="n">
        <f aca="false">IF('계산 근거'!J40="","",'계산 근거'!J40)</f>
        <v>50.76</v>
      </c>
      <c r="F48" s="7" t="s">
        <v>203</v>
      </c>
      <c r="G48" s="12" t="s">
        <v>204</v>
      </c>
      <c r="H48" s="6" t="s">
        <v>205</v>
      </c>
      <c r="I48" s="7" t="s">
        <v>206</v>
      </c>
    </row>
    <row r="49" customFormat="false" ht="44" hidden="false" customHeight="false" outlineLevel="0" collapsed="false">
      <c r="A49" s="6" t="n">
        <v>40</v>
      </c>
      <c r="B49" s="7" t="s">
        <v>207</v>
      </c>
      <c r="C49" s="7" t="s">
        <v>189</v>
      </c>
      <c r="D49" s="25" t="n">
        <v>882</v>
      </c>
      <c r="E49" s="9" t="n">
        <f aca="false">IF('계산 근거'!J41="","",'계산 근거'!J41)</f>
        <v>17.126213592233</v>
      </c>
      <c r="F49" s="7" t="s">
        <v>208</v>
      </c>
      <c r="G49" s="12" t="s">
        <v>209</v>
      </c>
      <c r="H49" s="6" t="s">
        <v>205</v>
      </c>
      <c r="I49" s="7" t="s">
        <v>210</v>
      </c>
    </row>
    <row r="50" customFormat="false" ht="29.85" hidden="false" customHeight="false" outlineLevel="0" collapsed="false">
      <c r="A50" s="6" t="n">
        <v>41</v>
      </c>
      <c r="B50" s="7" t="s">
        <v>211</v>
      </c>
      <c r="C50" s="7" t="s">
        <v>189</v>
      </c>
      <c r="D50" s="11" t="n">
        <v>459</v>
      </c>
      <c r="E50" s="9" t="n">
        <f aca="false">IF('계산 근거'!J42="","",'계산 근거'!J42)</f>
        <v>0.1307232</v>
      </c>
      <c r="F50" s="7" t="s">
        <v>212</v>
      </c>
      <c r="G50" s="12" t="s">
        <v>34</v>
      </c>
      <c r="H50" s="6" t="s">
        <v>24</v>
      </c>
      <c r="I50" s="7" t="s">
        <v>213</v>
      </c>
    </row>
    <row r="51" customFormat="false" ht="15" hidden="false" customHeight="true" outlineLevel="0" collapsed="false">
      <c r="A51" s="18"/>
      <c r="B51" s="19" t="s">
        <v>214</v>
      </c>
      <c r="C51" s="19"/>
      <c r="D51" s="19"/>
      <c r="E51" s="20" t="n">
        <f aca="false">SUM(E40,E41,E42,E43,E44,E45,E46,E47,E48,E49,E50)</f>
        <v>555.433775485314</v>
      </c>
      <c r="F51" s="19" t="s">
        <v>215</v>
      </c>
      <c r="G51" s="18"/>
      <c r="H51" s="18"/>
      <c r="I51" s="19" t="s">
        <v>216</v>
      </c>
    </row>
    <row r="53" customFormat="false" ht="15" hidden="false" customHeight="false" outlineLevel="0" collapsed="false">
      <c r="A53" s="4" t="s">
        <v>217</v>
      </c>
    </row>
    <row r="54" customFormat="false" ht="15" hidden="false" customHeight="false" outlineLevel="0" collapsed="false">
      <c r="A54" s="4" t="s">
        <v>218</v>
      </c>
    </row>
    <row r="55" customFormat="false" ht="15" hidden="false" customHeight="false" outlineLevel="0" collapsed="false">
      <c r="A55" s="4" t="s">
        <v>219</v>
      </c>
    </row>
  </sheetData>
  <mergeCells count="6">
    <mergeCell ref="B14:D14"/>
    <mergeCell ref="B19:D19"/>
    <mergeCell ref="B26:D26"/>
    <mergeCell ref="B29:D29"/>
    <mergeCell ref="B39:D39"/>
    <mergeCell ref="B51:D51"/>
  </mergeCells>
  <hyperlinks>
    <hyperlink ref="G5" r:id="rId1" display="Accio 시어버터 도매 목록"/>
    <hyperlink ref="G6" r:id="rId2" display="Bulk Natural Oils: 밀납(황색 과립)"/>
    <hyperlink ref="G7" r:id="rId3" display="세계은행 Pink Sheet (2026년 8월 4일 발행, 7월 평균)"/>
    <hyperlink ref="G8" r:id="rId4" display="Commodity-Board: 우크라이나 해바라기 시장"/>
    <hyperlink ref="G9" r:id="rId5" display="Bulk Natural Oils: 호호바오일(골든)"/>
    <hyperlink ref="G10" r:id="rId6" display="Bulk Natural Oils: 카나우바왁스 T1"/>
    <hyperlink ref="G12" r:id="rId7" display="SunSirs: China PP Prices Consolidate After July Rise"/>
    <hyperlink ref="G13" r:id="rId8" display="미국 에너지정보청(EIA) Brent 현물 일별"/>
    <hyperlink ref="G15" r:id="rId9" display="SunSirs: China PP Prices Consolidate After July Rise"/>
    <hyperlink ref="G16" r:id="rId10" display="미국 에너지정보청(EIA) Brent 현물 일별"/>
    <hyperlink ref="G17" r:id="rId11" display="SunSirs: Polyester Staple Fiber Prices Fluctuated Upward in July"/>
    <hyperlink ref="G20" r:id="rId12" display="SunSirs: Textile Products Industries Bulk Commodity Intelligence"/>
    <hyperlink ref="G21" r:id="rId13" display="10jqka 폴리우레탄 업종 기사 (iFinD 자료)"/>
    <hyperlink ref="G22" r:id="rId14" display="SunSirs: Textile Products Industries Bulk Commodity Intelligence"/>
    <hyperlink ref="G23" r:id="rId15" display="SunSirs: China Domestic EVA Market Sees Slight Rise Since Mid-July"/>
    <hyperlink ref="G24" r:id="rId16" display="瑞达期货 고무 일일 보고서 (2026-07-30)"/>
    <hyperlink ref="G25" r:id="rId17" display="瑞达期货 고무 일일 보고서 (2026-07-30)"/>
    <hyperlink ref="G27" r:id="rId18" display="세계은행 Pink Sheet (2026년 8월 4일 발행, 7월 평균)"/>
    <hyperlink ref="G28" r:id="rId19" display="SunSirs: Polyester Staple Fiber Prices Fluctuated Upward in July"/>
    <hyperlink ref="G30" r:id="rId20" display="CME Battery Metals Market Update (2026-07-31)"/>
    <hyperlink ref="G31" r:id="rId21" display="CME Battery Metals Market Update (2026-07-31)"/>
    <hyperlink ref="G32" r:id="rId22" display="Westmetall LME 니켈 현물"/>
    <hyperlink ref="G34" r:id="rId23" display="SunSirs: China ABS Prices Consolidate After July Rise"/>
    <hyperlink ref="G35" r:id="rId24" display="미국 에너지정보청(EIA) Brent 현물 일별"/>
    <hyperlink ref="G36" r:id="rId25" display="SunSirs: China PC Prices Fell Then Rose in July"/>
    <hyperlink ref="G37" r:id="rId26" display="미국 에너지정보청(EIA) Brent 현물 일별"/>
    <hyperlink ref="G38" r:id="rId27" display="SMM Silicone Weekly Review (주간, 7/30까지)"/>
    <hyperlink ref="G40" r:id="rId28" display="세계은행 Pink Sheet (2026년 8월 4일 발행, 7월 평균)"/>
    <hyperlink ref="G41" r:id="rId29" display="세계은행 Pink Sheet (2026년 8월 4일 발행, 7월 평균)"/>
    <hyperlink ref="G42" r:id="rId30" display="세계은행 Pink Sheet (2026년 8월 4일 발행, 7월 평균)"/>
    <hyperlink ref="G43" r:id="rId31" display="세계은행 Pink Sheet (2026년 8월 4일 발행, 7월 평균)"/>
    <hyperlink ref="G44" r:id="rId32" display="세계은행 Pink Sheet (2026년 8월 4일 발행, 7월 평균)"/>
    <hyperlink ref="G45" r:id="rId33" display="세계은행 Pink Sheet (2026년 8월 4일 발행, 7월 평균)"/>
    <hyperlink ref="G46" r:id="rId34" display="IndexBox (EU 유제품 시장 관측소 인용)"/>
    <hyperlink ref="G47" r:id="rId35" display="세계은행 Pink Sheet (2026년 8월 4일 발행, 7월 평균)"/>
    <hyperlink ref="G48" r:id="rId36" display="뉴시스: KREI 8월 축산관측 (2026-08-05)"/>
    <hyperlink ref="G49" r:id="rId37" display="파이낸셜뉴스: 원유 기본가격 동결 (2026-05-15)"/>
    <hyperlink ref="G50" r:id="rId38" display="세계은행 Pink Sheet (2026년 8월 4일 발행, 7월 평균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8"/>
  </cols>
  <sheetData>
    <row r="1" customFormat="false" ht="43.5" hidden="false" customHeight="true" outlineLevel="0" collapsed="false">
      <c r="A1" s="5" t="s">
        <v>11</v>
      </c>
      <c r="B1" s="5" t="s">
        <v>220</v>
      </c>
      <c r="C1" s="5" t="s">
        <v>221</v>
      </c>
      <c r="D1" s="5" t="s">
        <v>18</v>
      </c>
      <c r="E1" s="26" t="s">
        <v>222</v>
      </c>
      <c r="F1" s="26" t="s">
        <v>223</v>
      </c>
      <c r="G1" s="5" t="s">
        <v>224</v>
      </c>
      <c r="H1" s="26" t="s">
        <v>225</v>
      </c>
      <c r="I1" s="5" t="s">
        <v>226</v>
      </c>
      <c r="J1" s="5" t="s">
        <v>227</v>
      </c>
      <c r="K1" s="26" t="s">
        <v>228</v>
      </c>
    </row>
    <row r="2" customFormat="false" ht="15" hidden="false" customHeight="false" outlineLevel="0" collapsed="false">
      <c r="A2" s="6" t="n">
        <v>1</v>
      </c>
      <c r="B2" s="7" t="s">
        <v>20</v>
      </c>
      <c r="C2" s="27" t="n">
        <f aca="false">IF('원료 가격'!D5="","",'원료 가격'!D5)</f>
        <v>7.24</v>
      </c>
      <c r="D2" s="28" t="s">
        <v>24</v>
      </c>
      <c r="E2" s="29" t="n">
        <v>1</v>
      </c>
      <c r="F2" s="30" t="n">
        <f aca="false">IF(C2="","",C2*E2)</f>
        <v>7.24</v>
      </c>
      <c r="G2" s="31" t="n">
        <f aca="false">IF(D2="","",INDEX(환율!$C$12:$C$15,MATCH(D2,환율!$A$12:$A$15,0)))</f>
        <v>1424</v>
      </c>
      <c r="H2" s="32" t="n">
        <f aca="false">IF(F2="","",F2*G2)</f>
        <v>10309.76</v>
      </c>
      <c r="I2" s="33" t="n">
        <v>1.575</v>
      </c>
      <c r="J2" s="34" t="n">
        <f aca="false">IF(H2="","",H2*I2/1000)</f>
        <v>16.237872</v>
      </c>
      <c r="K2" s="35" t="n">
        <f aca="false">1000/(I2*1)</f>
        <v>634.920634920635</v>
      </c>
    </row>
    <row r="3" customFormat="false" ht="15" hidden="false" customHeight="false" outlineLevel="0" collapsed="false">
      <c r="A3" s="6" t="n">
        <v>2</v>
      </c>
      <c r="B3" s="7" t="s">
        <v>26</v>
      </c>
      <c r="C3" s="27" t="n">
        <f aca="false">IF('원료 가격'!D6="","",'원료 가격'!D6)</f>
        <v>9.6</v>
      </c>
      <c r="D3" s="28" t="s">
        <v>24</v>
      </c>
      <c r="E3" s="29" t="n">
        <v>1</v>
      </c>
      <c r="F3" s="30" t="n">
        <f aca="false">IF(C3="","",C3*E3)</f>
        <v>9.6</v>
      </c>
      <c r="G3" s="31" t="n">
        <f aca="false">IF(D3="","",INDEX(환율!$C$12:$C$15,MATCH(D3,환율!$A$12:$A$15,0)))</f>
        <v>1424</v>
      </c>
      <c r="H3" s="32" t="n">
        <f aca="false">IF(F3="","",F3*G3)</f>
        <v>13670.4</v>
      </c>
      <c r="I3" s="33" t="n">
        <v>1.125</v>
      </c>
      <c r="J3" s="34" t="n">
        <f aca="false">IF(H3="","",H3*I3/1000)</f>
        <v>15.3792</v>
      </c>
      <c r="K3" s="35" t="n">
        <f aca="false">1000/(I3*1)</f>
        <v>888.888888888889</v>
      </c>
    </row>
    <row r="4" customFormat="false" ht="15" hidden="false" customHeight="false" outlineLevel="0" collapsed="false">
      <c r="A4" s="6" t="n">
        <v>3</v>
      </c>
      <c r="B4" s="7" t="s">
        <v>31</v>
      </c>
      <c r="C4" s="27" t="n">
        <f aca="false">IF('원료 가격'!D7="","",'원료 가격'!D7)</f>
        <v>1924</v>
      </c>
      <c r="D4" s="28" t="s">
        <v>24</v>
      </c>
      <c r="E4" s="29" t="n">
        <v>0.001</v>
      </c>
      <c r="F4" s="30" t="n">
        <f aca="false">IF(C4="","",C4*E4)</f>
        <v>1.924</v>
      </c>
      <c r="G4" s="31" t="n">
        <f aca="false">IF(D4="","",INDEX(환율!$C$12:$C$15,MATCH(D4,환율!$A$12:$A$15,0)))</f>
        <v>1424</v>
      </c>
      <c r="H4" s="32" t="n">
        <f aca="false">IF(F4="","",F4*G4)</f>
        <v>2739.776</v>
      </c>
      <c r="I4" s="33" t="n">
        <v>0.675</v>
      </c>
      <c r="J4" s="34" t="n">
        <f aca="false">IF(H4="","",H4*I4/1000)</f>
        <v>1.8493488</v>
      </c>
      <c r="K4" s="35" t="n">
        <f aca="false">1000/(I4*1)</f>
        <v>1481.48148148148</v>
      </c>
    </row>
    <row r="5" customFormat="false" ht="15" hidden="false" customHeight="false" outlineLevel="0" collapsed="false">
      <c r="A5" s="6" t="n">
        <v>4</v>
      </c>
      <c r="B5" s="7" t="s">
        <v>36</v>
      </c>
      <c r="C5" s="27" t="n">
        <f aca="false">IF('원료 가격'!D8="","",'원료 가격'!D8)</f>
        <v>1377.5</v>
      </c>
      <c r="D5" s="28" t="s">
        <v>24</v>
      </c>
      <c r="E5" s="29" t="n">
        <v>0.001</v>
      </c>
      <c r="F5" s="30" t="n">
        <f aca="false">IF(C5="","",C5*E5)</f>
        <v>1.3775</v>
      </c>
      <c r="G5" s="31" t="n">
        <f aca="false">IF(D5="","",INDEX(환율!$C$12:$C$15,MATCH(D5,환율!$A$12:$A$15,0)))</f>
        <v>1424</v>
      </c>
      <c r="H5" s="32" t="n">
        <f aca="false">IF(F5="","",F5*G5)</f>
        <v>1961.56</v>
      </c>
      <c r="I5" s="33" t="n">
        <v>0.54</v>
      </c>
      <c r="J5" s="34" t="n">
        <f aca="false">IF(H5="","",H5*I5/1000)</f>
        <v>1.0592424</v>
      </c>
      <c r="K5" s="35" t="n">
        <f aca="false">1000/(I5*1)</f>
        <v>1851.85185185185</v>
      </c>
    </row>
    <row r="6" customFormat="false" ht="15" hidden="false" customHeight="false" outlineLevel="0" collapsed="false">
      <c r="A6" s="6" t="n">
        <v>5</v>
      </c>
      <c r="B6" s="7" t="s">
        <v>41</v>
      </c>
      <c r="C6" s="27" t="n">
        <f aca="false">IF('원료 가격'!D9="","",'원료 가격'!D9)</f>
        <v>14.75</v>
      </c>
      <c r="D6" s="28" t="s">
        <v>24</v>
      </c>
      <c r="E6" s="29" t="n">
        <v>1</v>
      </c>
      <c r="F6" s="30" t="n">
        <f aca="false">IF(C6="","",C6*E6)</f>
        <v>14.75</v>
      </c>
      <c r="G6" s="31" t="n">
        <f aca="false">IF(D6="","",INDEX(환율!$C$12:$C$15,MATCH(D6,환율!$A$12:$A$15,0)))</f>
        <v>1424</v>
      </c>
      <c r="H6" s="32" t="n">
        <f aca="false">IF(F6="","",F6*G6)</f>
        <v>21004</v>
      </c>
      <c r="I6" s="33" t="n">
        <v>0.36</v>
      </c>
      <c r="J6" s="34" t="n">
        <f aca="false">IF(H6="","",H6*I6/1000)</f>
        <v>7.56144</v>
      </c>
      <c r="K6" s="35" t="n">
        <f aca="false">1000/(I6*1)</f>
        <v>2777.77777777778</v>
      </c>
    </row>
    <row r="7" customFormat="false" ht="15" hidden="false" customHeight="false" outlineLevel="0" collapsed="false">
      <c r="A7" s="6" t="n">
        <v>6</v>
      </c>
      <c r="B7" s="7" t="s">
        <v>46</v>
      </c>
      <c r="C7" s="27" t="n">
        <f aca="false">IF('원료 가격'!D10="","",'원료 가격'!D10)</f>
        <v>16.4</v>
      </c>
      <c r="D7" s="28" t="s">
        <v>24</v>
      </c>
      <c r="E7" s="29" t="n">
        <v>1</v>
      </c>
      <c r="F7" s="30" t="n">
        <f aca="false">IF(C7="","",C7*E7)</f>
        <v>16.4</v>
      </c>
      <c r="G7" s="31" t="n">
        <f aca="false">IF(D7="","",INDEX(환율!$C$12:$C$15,MATCH(D7,환율!$A$12:$A$15,0)))</f>
        <v>1424</v>
      </c>
      <c r="H7" s="32" t="n">
        <f aca="false">IF(F7="","",F7*G7)</f>
        <v>23353.6</v>
      </c>
      <c r="I7" s="33" t="n">
        <v>0.2025</v>
      </c>
      <c r="J7" s="34" t="n">
        <f aca="false">IF(H7="","",H7*I7/1000)</f>
        <v>4.729104</v>
      </c>
      <c r="K7" s="35" t="n">
        <f aca="false">1000/(I7*1)</f>
        <v>4938.27160493827</v>
      </c>
    </row>
    <row r="8" customFormat="false" ht="15" hidden="false" customHeight="false" outlineLevel="0" collapsed="false">
      <c r="A8" s="6" t="n">
        <v>7</v>
      </c>
      <c r="B8" s="7" t="s">
        <v>51</v>
      </c>
      <c r="C8" s="27" t="str">
        <f aca="false">IF('원료 가격'!D11="","",'원료 가격'!D11)</f>
        <v/>
      </c>
      <c r="D8" s="28"/>
      <c r="E8" s="29"/>
      <c r="F8" s="30" t="str">
        <f aca="false">IF(C8="","",C8*E8)</f>
        <v/>
      </c>
      <c r="G8" s="31" t="str">
        <f aca="false">IF(D8="","",INDEX(환율!$C$12:$C$15,MATCH(D8,환율!$A$12:$A$15,0)))</f>
        <v/>
      </c>
      <c r="H8" s="32" t="str">
        <f aca="false">IF(F8="","",F8*G8)</f>
        <v/>
      </c>
      <c r="I8" s="33" t="n">
        <v>0.0225</v>
      </c>
      <c r="J8" s="34" t="str">
        <f aca="false">IF(H8="","",H8*I8/1000)</f>
        <v/>
      </c>
      <c r="K8" s="35" t="n">
        <f aca="false">1000/(I8*1)</f>
        <v>44444.4444444444</v>
      </c>
    </row>
    <row r="9" customFormat="false" ht="15" hidden="false" customHeight="false" outlineLevel="0" collapsed="false">
      <c r="A9" s="6" t="n">
        <v>8</v>
      </c>
      <c r="B9" s="7" t="s">
        <v>56</v>
      </c>
      <c r="C9" s="27" t="n">
        <f aca="false">IF('원료 가격'!D12="","",'원료 가격'!D12)</f>
        <v>8973.33</v>
      </c>
      <c r="D9" s="28" t="s">
        <v>60</v>
      </c>
      <c r="E9" s="29" t="n">
        <v>0.001</v>
      </c>
      <c r="F9" s="30" t="n">
        <f aca="false">IF(C9="","",C9*E9)</f>
        <v>8.97333</v>
      </c>
      <c r="G9" s="31" t="n">
        <f aca="false">IF(D9="","",INDEX(환율!$C$12:$C$15,MATCH(D9,환율!$A$12:$A$15,0)))</f>
        <v>210.959681433549</v>
      </c>
      <c r="H9" s="32" t="n">
        <f aca="false">IF(F9="","",F9*G9)</f>
        <v>1893.01083819811</v>
      </c>
      <c r="I9" s="33" t="n">
        <v>5</v>
      </c>
      <c r="J9" s="34" t="n">
        <f aca="false">IF(H9="","",H9*I9/1000)</f>
        <v>9.46505419099055</v>
      </c>
      <c r="K9" s="35" t="n">
        <f aca="false">1000/(I9*1)</f>
        <v>200</v>
      </c>
    </row>
    <row r="10" customFormat="false" ht="15" hidden="false" customHeight="false" outlineLevel="0" collapsed="false">
      <c r="A10" s="6" t="n">
        <v>9</v>
      </c>
      <c r="B10" s="7" t="s">
        <v>62</v>
      </c>
      <c r="C10" s="27" t="n">
        <f aca="false">IF('원료 가격'!D13="","",'원료 가격'!D13)</f>
        <v>96.95</v>
      </c>
      <c r="D10" s="28" t="s">
        <v>24</v>
      </c>
      <c r="E10" s="29" t="n">
        <f aca="false">1/136.4</f>
        <v>0.00733137829912023</v>
      </c>
      <c r="F10" s="30" t="n">
        <f aca="false">IF(C10="","",C10*E10)</f>
        <v>0.710777126099707</v>
      </c>
      <c r="G10" s="31" t="n">
        <f aca="false">IF(D10="","",INDEX(환율!$C$12:$C$15,MATCH(D10,환율!$A$12:$A$15,0)))</f>
        <v>1424</v>
      </c>
      <c r="H10" s="32" t="n">
        <f aca="false">IF(F10="","",F10*G10)</f>
        <v>1012.14662756598</v>
      </c>
      <c r="I10" s="33" t="n">
        <v>10</v>
      </c>
      <c r="J10" s="34" t="n">
        <f aca="false">IF(H10="","",H10*I10/1000)</f>
        <v>10.1214662756598</v>
      </c>
      <c r="K10" s="35" t="n">
        <f aca="false">1000/(I10*1)</f>
        <v>100</v>
      </c>
    </row>
    <row r="11" customFormat="false" ht="15" hidden="false" customHeight="false" outlineLevel="0" collapsed="false">
      <c r="A11" s="6" t="n">
        <v>10</v>
      </c>
      <c r="B11" s="7" t="s">
        <v>70</v>
      </c>
      <c r="C11" s="27" t="n">
        <f aca="false">IF('원료 가격'!D15="","",'원료 가격'!D15)</f>
        <v>8973.33</v>
      </c>
      <c r="D11" s="28" t="s">
        <v>60</v>
      </c>
      <c r="E11" s="29" t="n">
        <v>0.001</v>
      </c>
      <c r="F11" s="30" t="n">
        <f aca="false">IF(C11="","",C11*E11)</f>
        <v>8.97333</v>
      </c>
      <c r="G11" s="31" t="n">
        <f aca="false">IF(D11="","",INDEX(환율!$C$12:$C$15,MATCH(D11,환율!$A$12:$A$15,0)))</f>
        <v>210.959681433549</v>
      </c>
      <c r="H11" s="32" t="n">
        <f aca="false">IF(F11="","",F11*G11)</f>
        <v>1893.01083819811</v>
      </c>
      <c r="I11" s="33" t="n">
        <v>60</v>
      </c>
      <c r="J11" s="34" t="n">
        <f aca="false">IF(H11="","",H11*I11/1000)</f>
        <v>113.580650291887</v>
      </c>
      <c r="K11" s="36" t="n">
        <f aca="false">1000/(I11*1)</f>
        <v>16.6666666666667</v>
      </c>
    </row>
    <row r="12" customFormat="false" ht="15" hidden="false" customHeight="false" outlineLevel="0" collapsed="false">
      <c r="A12" s="6" t="n">
        <v>11</v>
      </c>
      <c r="B12" s="7" t="s">
        <v>74</v>
      </c>
      <c r="C12" s="27" t="n">
        <f aca="false">IF('원료 가격'!D16="","",'원료 가격'!D16)</f>
        <v>96.95</v>
      </c>
      <c r="D12" s="28" t="s">
        <v>24</v>
      </c>
      <c r="E12" s="29" t="n">
        <f aca="false">1/136.4</f>
        <v>0.00733137829912023</v>
      </c>
      <c r="F12" s="30" t="n">
        <f aca="false">IF(C12="","",C12*E12)</f>
        <v>0.710777126099707</v>
      </c>
      <c r="G12" s="31" t="n">
        <f aca="false">IF(D12="","",INDEX(환율!$C$12:$C$15,MATCH(D12,환율!$A$12:$A$15,0)))</f>
        <v>1424</v>
      </c>
      <c r="H12" s="32" t="n">
        <f aca="false">IF(F12="","",F12*G12)</f>
        <v>1012.14662756598</v>
      </c>
      <c r="I12" s="33" t="n">
        <v>120</v>
      </c>
      <c r="J12" s="34" t="n">
        <f aca="false">IF(H12="","",H12*I12/1000)</f>
        <v>121.457595307918</v>
      </c>
      <c r="K12" s="36" t="n">
        <f aca="false">1000/(I12*1)</f>
        <v>8.33333333333333</v>
      </c>
    </row>
    <row r="13" customFormat="false" ht="15" hidden="false" customHeight="false" outlineLevel="0" collapsed="false">
      <c r="A13" s="6" t="n">
        <v>12</v>
      </c>
      <c r="B13" s="7" t="s">
        <v>78</v>
      </c>
      <c r="C13" s="27" t="n">
        <f aca="false">IF('원료 가격'!D17="","",'원료 가격'!D17)</f>
        <v>7558</v>
      </c>
      <c r="D13" s="28" t="s">
        <v>60</v>
      </c>
      <c r="E13" s="29" t="n">
        <v>0.001</v>
      </c>
      <c r="F13" s="30" t="n">
        <f aca="false">IF(C13="","",C13*E13)</f>
        <v>7.558</v>
      </c>
      <c r="G13" s="31" t="n">
        <f aca="false">IF(D13="","",INDEX(환율!$C$12:$C$15,MATCH(D13,환율!$A$12:$A$15,0)))</f>
        <v>210.959681433549</v>
      </c>
      <c r="H13" s="32" t="n">
        <f aca="false">IF(F13="","",F13*G13)</f>
        <v>1594.43327227476</v>
      </c>
      <c r="I13" s="33" t="n">
        <v>1.2</v>
      </c>
      <c r="J13" s="34" t="n">
        <f aca="false">IF(H13="","",H13*I13/1000)</f>
        <v>1.91331992672972</v>
      </c>
      <c r="K13" s="37" t="n">
        <f aca="false">1000/(I13*1)</f>
        <v>833.333333333333</v>
      </c>
    </row>
    <row r="14" customFormat="false" ht="15" hidden="false" customHeight="false" outlineLevel="0" collapsed="false">
      <c r="A14" s="6" t="n">
        <v>13</v>
      </c>
      <c r="B14" s="7" t="s">
        <v>83</v>
      </c>
      <c r="C14" s="27" t="str">
        <f aca="false">IF('원료 가격'!D18="","",'원료 가격'!D18)</f>
        <v/>
      </c>
      <c r="D14" s="28"/>
      <c r="E14" s="29"/>
      <c r="F14" s="30" t="str">
        <f aca="false">IF(C14="","",C14*E14)</f>
        <v/>
      </c>
      <c r="G14" s="31" t="str">
        <f aca="false">IF(D14="","",INDEX(환율!$C$12:$C$15,MATCH(D14,환율!$A$12:$A$15,0)))</f>
        <v/>
      </c>
      <c r="H14" s="32" t="str">
        <f aca="false">IF(F14="","",F14*G14)</f>
        <v/>
      </c>
      <c r="I14" s="33" t="n">
        <v>0.9</v>
      </c>
      <c r="J14" s="34" t="str">
        <f aca="false">IF(H14="","",H14*I14/1000)</f>
        <v/>
      </c>
      <c r="K14" s="37" t="n">
        <f aca="false">1000/(I14*1)</f>
        <v>1111.11111111111</v>
      </c>
    </row>
    <row r="15" customFormat="false" ht="15" hidden="false" customHeight="false" outlineLevel="0" collapsed="false">
      <c r="A15" s="6" t="n">
        <v>14</v>
      </c>
      <c r="B15" s="7" t="s">
        <v>90</v>
      </c>
      <c r="C15" s="27" t="n">
        <f aca="false">IF('원료 가격'!D20="","",'원료 가격'!D20)</f>
        <v>8800</v>
      </c>
      <c r="D15" s="28" t="s">
        <v>60</v>
      </c>
      <c r="E15" s="29" t="n">
        <v>0.001</v>
      </c>
      <c r="F15" s="30" t="n">
        <f aca="false">IF(C15="","",C15*E15)</f>
        <v>8.8</v>
      </c>
      <c r="G15" s="31" t="n">
        <f aca="false">IF(D15="","",INDEX(환율!$C$12:$C$15,MATCH(D15,환율!$A$12:$A$15,0)))</f>
        <v>210.959681433549</v>
      </c>
      <c r="H15" s="32" t="n">
        <f aca="false">IF(F15="","",F15*G15)</f>
        <v>1856.44519661523</v>
      </c>
      <c r="I15" s="33" t="n">
        <v>60</v>
      </c>
      <c r="J15" s="34" t="n">
        <f aca="false">IF(H15="","",H15*I15/1000)</f>
        <v>111.386711796914</v>
      </c>
      <c r="K15" s="38" t="n">
        <f aca="false">1000/(I15*1)</f>
        <v>16.6666666666667</v>
      </c>
    </row>
    <row r="16" customFormat="false" ht="15" hidden="false" customHeight="false" outlineLevel="0" collapsed="false">
      <c r="A16" s="6" t="n">
        <v>15</v>
      </c>
      <c r="B16" s="7" t="s">
        <v>94</v>
      </c>
      <c r="C16" s="27" t="n">
        <f aca="false">IF('원료 가격'!D21="","",'원료 가격'!D21)</f>
        <v>17866.67</v>
      </c>
      <c r="D16" s="28" t="s">
        <v>60</v>
      </c>
      <c r="E16" s="29" t="n">
        <v>0.001</v>
      </c>
      <c r="F16" s="30" t="n">
        <f aca="false">IF(C16="","",C16*E16)</f>
        <v>17.86667</v>
      </c>
      <c r="G16" s="31" t="n">
        <f aca="false">IF(D16="","",INDEX(환율!$C$12:$C$15,MATCH(D16,환율!$A$12:$A$15,0)))</f>
        <v>210.959681433549</v>
      </c>
      <c r="H16" s="32" t="n">
        <f aca="false">IF(F16="","",F16*G16)</f>
        <v>3769.14701147835</v>
      </c>
      <c r="I16" s="33" t="n">
        <v>40</v>
      </c>
      <c r="J16" s="34" t="n">
        <f aca="false">IF(H16="","",H16*I16/1000)</f>
        <v>150.765880459134</v>
      </c>
      <c r="K16" s="38" t="n">
        <f aca="false">1000/(I16*1)</f>
        <v>25</v>
      </c>
    </row>
    <row r="17" customFormat="false" ht="15" hidden="false" customHeight="false" outlineLevel="0" collapsed="false">
      <c r="A17" s="6" t="n">
        <v>16</v>
      </c>
      <c r="B17" s="7" t="s">
        <v>99</v>
      </c>
      <c r="C17" s="27" t="n">
        <f aca="false">IF('원료 가격'!D22="","",'원료 가격'!D22)</f>
        <v>9050</v>
      </c>
      <c r="D17" s="28" t="s">
        <v>60</v>
      </c>
      <c r="E17" s="29" t="n">
        <v>0.001</v>
      </c>
      <c r="F17" s="30" t="n">
        <f aca="false">IF(C17="","",C17*E17)</f>
        <v>9.05</v>
      </c>
      <c r="G17" s="31" t="n">
        <f aca="false">IF(D17="","",INDEX(환율!$C$12:$C$15,MATCH(D17,환율!$A$12:$A$15,0)))</f>
        <v>210.959681433549</v>
      </c>
      <c r="H17" s="32" t="n">
        <f aca="false">IF(F17="","",F17*G17)</f>
        <v>1909.18511697362</v>
      </c>
      <c r="I17" s="33" t="n">
        <v>30</v>
      </c>
      <c r="J17" s="34" t="n">
        <f aca="false">IF(H17="","",H17*I17/1000)</f>
        <v>57.2755535092086</v>
      </c>
      <c r="K17" s="38" t="n">
        <f aca="false">1000/(I17*1)</f>
        <v>33.3333333333333</v>
      </c>
    </row>
    <row r="18" customFormat="false" ht="15" hidden="false" customHeight="false" outlineLevel="0" collapsed="false">
      <c r="A18" s="6" t="n">
        <v>17</v>
      </c>
      <c r="B18" s="7" t="s">
        <v>103</v>
      </c>
      <c r="C18" s="27" t="n">
        <f aca="false">IF('원료 가격'!D23="","",'원료 가격'!D23)</f>
        <v>10066</v>
      </c>
      <c r="D18" s="28" t="s">
        <v>60</v>
      </c>
      <c r="E18" s="29" t="n">
        <v>0.001</v>
      </c>
      <c r="F18" s="30" t="n">
        <f aca="false">IF(C18="","",C18*E18)</f>
        <v>10.066</v>
      </c>
      <c r="G18" s="31" t="n">
        <f aca="false">IF(D18="","",INDEX(환율!$C$12:$C$15,MATCH(D18,환율!$A$12:$A$15,0)))</f>
        <v>210.959681433549</v>
      </c>
      <c r="H18" s="32" t="n">
        <f aca="false">IF(F18="","",F18*G18)</f>
        <v>2123.52015331011</v>
      </c>
      <c r="I18" s="33" t="n">
        <v>100</v>
      </c>
      <c r="J18" s="34" t="n">
        <f aca="false">IF(H18="","",H18*I18/1000)</f>
        <v>212.35201533101</v>
      </c>
      <c r="K18" s="38" t="n">
        <f aca="false">1000/(I18*1)</f>
        <v>10</v>
      </c>
    </row>
    <row r="19" customFormat="false" ht="15" hidden="false" customHeight="false" outlineLevel="0" collapsed="false">
      <c r="A19" s="6" t="n">
        <v>18</v>
      </c>
      <c r="B19" s="7" t="s">
        <v>108</v>
      </c>
      <c r="C19" s="27" t="n">
        <f aca="false">IF('원료 가격'!D24="","",'원료 가격'!D24)</f>
        <v>2155</v>
      </c>
      <c r="D19" s="28" t="s">
        <v>24</v>
      </c>
      <c r="E19" s="29" t="n">
        <v>0.001</v>
      </c>
      <c r="F19" s="30" t="n">
        <f aca="false">IF(C19="","",C19*E19)</f>
        <v>2.155</v>
      </c>
      <c r="G19" s="31" t="n">
        <f aca="false">IF(D19="","",INDEX(환율!$C$12:$C$15,MATCH(D19,환율!$A$12:$A$15,0)))</f>
        <v>1424</v>
      </c>
      <c r="H19" s="32" t="n">
        <f aca="false">IF(F19="","",F19*G19)</f>
        <v>3068.72</v>
      </c>
      <c r="I19" s="33" t="n">
        <v>45</v>
      </c>
      <c r="J19" s="34" t="n">
        <f aca="false">IF(H19="","",H19*I19/1000)</f>
        <v>138.0924</v>
      </c>
      <c r="K19" s="38" t="n">
        <f aca="false">1000/(I19*1)</f>
        <v>22.2222222222222</v>
      </c>
    </row>
    <row r="20" customFormat="false" ht="15" hidden="false" customHeight="false" outlineLevel="0" collapsed="false">
      <c r="A20" s="6" t="n">
        <v>19</v>
      </c>
      <c r="B20" s="7" t="s">
        <v>113</v>
      </c>
      <c r="C20" s="27" t="n">
        <f aca="false">IF('원료 가격'!D25="","",'원료 가격'!D25)</f>
        <v>13300</v>
      </c>
      <c r="D20" s="28" t="s">
        <v>60</v>
      </c>
      <c r="E20" s="29" t="n">
        <v>0.001</v>
      </c>
      <c r="F20" s="30" t="n">
        <f aca="false">IF(C20="","",C20*E20)</f>
        <v>13.3</v>
      </c>
      <c r="G20" s="31" t="n">
        <f aca="false">IF(D20="","",INDEX(환율!$C$12:$C$15,MATCH(D20,환율!$A$12:$A$15,0)))</f>
        <v>210.959681433549</v>
      </c>
      <c r="H20" s="32" t="n">
        <f aca="false">IF(F20="","",F20*G20)</f>
        <v>2805.7637630662</v>
      </c>
      <c r="I20" s="33" t="n">
        <v>105</v>
      </c>
      <c r="J20" s="34" t="n">
        <f aca="false">IF(H20="","",H20*I20/1000)</f>
        <v>294.605195121951</v>
      </c>
      <c r="K20" s="38" t="n">
        <f aca="false">1000/(I20*1)</f>
        <v>9.52380952380952</v>
      </c>
    </row>
    <row r="21" customFormat="false" ht="15" hidden="false" customHeight="false" outlineLevel="0" collapsed="false">
      <c r="A21" s="6" t="n">
        <v>20</v>
      </c>
      <c r="B21" s="7" t="s">
        <v>119</v>
      </c>
      <c r="C21" s="27" t="n">
        <f aca="false">IF('원료 가격'!D27="","",'원료 가격'!D27)</f>
        <v>1.96</v>
      </c>
      <c r="D21" s="28" t="s">
        <v>24</v>
      </c>
      <c r="E21" s="29" t="n">
        <v>1</v>
      </c>
      <c r="F21" s="30" t="n">
        <f aca="false">IF(C21="","",C21*E21)</f>
        <v>1.96</v>
      </c>
      <c r="G21" s="31" t="n">
        <f aca="false">IF(D21="","",INDEX(환율!$C$12:$C$15,MATCH(D21,환율!$A$12:$A$15,0)))</f>
        <v>1424</v>
      </c>
      <c r="H21" s="32" t="n">
        <f aca="false">IF(F21="","",F21*G21)</f>
        <v>2791.04</v>
      </c>
      <c r="I21" s="33" t="n">
        <v>480</v>
      </c>
      <c r="J21" s="34" t="n">
        <f aca="false">IF(H21="","",H21*I21/1000)</f>
        <v>1339.6992</v>
      </c>
      <c r="K21" s="39" t="n">
        <f aca="false">1000/(I21*1)</f>
        <v>2.08333333333333</v>
      </c>
    </row>
    <row r="22" customFormat="false" ht="15" hidden="false" customHeight="false" outlineLevel="0" collapsed="false">
      <c r="A22" s="6" t="n">
        <v>21</v>
      </c>
      <c r="B22" s="7" t="s">
        <v>123</v>
      </c>
      <c r="C22" s="27" t="n">
        <f aca="false">IF('원료 가격'!D28="","",'원료 가격'!D28)</f>
        <v>7558</v>
      </c>
      <c r="D22" s="28" t="s">
        <v>60</v>
      </c>
      <c r="E22" s="29" t="n">
        <v>0.001</v>
      </c>
      <c r="F22" s="30" t="n">
        <f aca="false">IF(C22="","",C22*E22)</f>
        <v>7.558</v>
      </c>
      <c r="G22" s="31" t="n">
        <f aca="false">IF(D22="","",INDEX(환율!$C$12:$C$15,MATCH(D22,환율!$A$12:$A$15,0)))</f>
        <v>210.959681433549</v>
      </c>
      <c r="H22" s="32" t="n">
        <f aca="false">IF(F22="","",F22*G22)</f>
        <v>1594.43327227476</v>
      </c>
      <c r="I22" s="33" t="n">
        <v>120</v>
      </c>
      <c r="J22" s="34" t="n">
        <f aca="false">IF(H22="","",H22*I22/1000)</f>
        <v>191.331992672972</v>
      </c>
      <c r="K22" s="39" t="n">
        <f aca="false">1000/(I22*1)</f>
        <v>8.33333333333333</v>
      </c>
    </row>
    <row r="23" customFormat="false" ht="15" hidden="false" customHeight="false" outlineLevel="0" collapsed="false">
      <c r="A23" s="6" t="n">
        <v>22</v>
      </c>
      <c r="B23" s="7" t="s">
        <v>130</v>
      </c>
      <c r="C23" s="27" t="n">
        <f aca="false">IF('원료 가격'!D30="","",'원료 가격'!D30)</f>
        <v>143350</v>
      </c>
      <c r="D23" s="28" t="s">
        <v>60</v>
      </c>
      <c r="E23" s="29" t="n">
        <v>0.001</v>
      </c>
      <c r="F23" s="30" t="n">
        <f aca="false">IF(C23="","",C23*E23)</f>
        <v>143.35</v>
      </c>
      <c r="G23" s="31" t="n">
        <f aca="false">IF(D23="","",INDEX(환율!$C$12:$C$15,MATCH(D23,환율!$A$12:$A$15,0)))</f>
        <v>210.959681433549</v>
      </c>
      <c r="H23" s="32" t="n">
        <f aca="false">IF(F23="","",F23*G23)</f>
        <v>30241.0703334993</v>
      </c>
      <c r="I23" s="33" t="n">
        <v>1.3</v>
      </c>
      <c r="J23" s="34" t="n">
        <f aca="false">IF(H23="","",H23*I23/1000)</f>
        <v>39.313391433549</v>
      </c>
      <c r="K23" s="40" t="n">
        <f aca="false">1000/(I23*1)</f>
        <v>769.230769230769</v>
      </c>
    </row>
    <row r="24" customFormat="false" ht="15" hidden="false" customHeight="false" outlineLevel="0" collapsed="false">
      <c r="A24" s="6" t="n">
        <v>23</v>
      </c>
      <c r="B24" s="7" t="s">
        <v>135</v>
      </c>
      <c r="C24" s="27" t="n">
        <f aca="false">IF('원료 가격'!D31="","",'원료 가격'!D31)</f>
        <v>26.2</v>
      </c>
      <c r="D24" s="28" t="s">
        <v>24</v>
      </c>
      <c r="E24" s="29" t="n">
        <v>2.20462</v>
      </c>
      <c r="F24" s="30" t="n">
        <f aca="false">IF(C24="","",C24*E24)</f>
        <v>57.761044</v>
      </c>
      <c r="G24" s="31" t="n">
        <f aca="false">IF(D24="","",INDEX(환율!$C$12:$C$15,MATCH(D24,환율!$A$12:$A$15,0)))</f>
        <v>1424</v>
      </c>
      <c r="H24" s="32" t="n">
        <f aca="false">IF(F24="","",F24*G24)</f>
        <v>82251.726656</v>
      </c>
      <c r="I24" s="33" t="n">
        <v>1.8</v>
      </c>
      <c r="J24" s="34" t="n">
        <f aca="false">IF(H24="","",H24*I24/1000)</f>
        <v>148.0531079808</v>
      </c>
      <c r="K24" s="40" t="n">
        <f aca="false">1000/(I24*1)</f>
        <v>555.555555555556</v>
      </c>
    </row>
    <row r="25" customFormat="false" ht="15" hidden="false" customHeight="false" outlineLevel="0" collapsed="false">
      <c r="A25" s="6" t="n">
        <v>24</v>
      </c>
      <c r="B25" s="7" t="s">
        <v>139</v>
      </c>
      <c r="C25" s="27" t="n">
        <f aca="false">IF('원료 가격'!D32="","",'원료 가격'!D32)</f>
        <v>17100</v>
      </c>
      <c r="D25" s="28" t="s">
        <v>24</v>
      </c>
      <c r="E25" s="29" t="n">
        <v>0.001</v>
      </c>
      <c r="F25" s="30" t="n">
        <f aca="false">IF(C25="","",C25*E25)</f>
        <v>17.1</v>
      </c>
      <c r="G25" s="31" t="n">
        <f aca="false">IF(D25="","",INDEX(환율!$C$12:$C$15,MATCH(D25,환율!$A$12:$A$15,0)))</f>
        <v>1424</v>
      </c>
      <c r="H25" s="32" t="n">
        <f aca="false">IF(F25="","",F25*G25)</f>
        <v>24350.4</v>
      </c>
      <c r="I25" s="33" t="n">
        <v>0.5</v>
      </c>
      <c r="J25" s="34" t="n">
        <f aca="false">IF(H25="","",H25*I25/1000)</f>
        <v>12.1752</v>
      </c>
      <c r="K25" s="40" t="n">
        <f aca="false">1000/(I25*1)</f>
        <v>2000</v>
      </c>
    </row>
    <row r="26" customFormat="false" ht="15" hidden="false" customHeight="false" outlineLevel="0" collapsed="false">
      <c r="A26" s="6" t="n">
        <v>25</v>
      </c>
      <c r="B26" s="7" t="s">
        <v>144</v>
      </c>
      <c r="C26" s="27" t="str">
        <f aca="false">IF('원료 가격'!D33="","",'원료 가격'!D33)</f>
        <v/>
      </c>
      <c r="D26" s="28"/>
      <c r="E26" s="29"/>
      <c r="F26" s="30" t="str">
        <f aca="false">IF(C26="","",C26*E26)</f>
        <v/>
      </c>
      <c r="G26" s="31" t="str">
        <f aca="false">IF(D26="","",INDEX(환율!$C$12:$C$15,MATCH(D26,환율!$A$12:$A$15,0)))</f>
        <v/>
      </c>
      <c r="H26" s="32" t="str">
        <f aca="false">IF(F26="","",F26*G26)</f>
        <v/>
      </c>
      <c r="I26" s="33" t="n">
        <v>1.85</v>
      </c>
      <c r="J26" s="34" t="str">
        <f aca="false">IF(H26="","",H26*I26/1000)</f>
        <v/>
      </c>
      <c r="K26" s="40" t="n">
        <f aca="false">1000/(I26*1)</f>
        <v>540.540540540541</v>
      </c>
    </row>
    <row r="27" customFormat="false" ht="15" hidden="false" customHeight="false" outlineLevel="0" collapsed="false">
      <c r="A27" s="6" t="n">
        <v>26</v>
      </c>
      <c r="B27" s="7" t="s">
        <v>147</v>
      </c>
      <c r="C27" s="27" t="n">
        <f aca="false">IF('원료 가격'!D34="","",'원료 가격'!D34)</f>
        <v>9616.67</v>
      </c>
      <c r="D27" s="28" t="s">
        <v>60</v>
      </c>
      <c r="E27" s="29" t="n">
        <v>0.001</v>
      </c>
      <c r="F27" s="30" t="n">
        <f aca="false">IF(C27="","",C27*E27)</f>
        <v>9.61667</v>
      </c>
      <c r="G27" s="31" t="n">
        <f aca="false">IF(D27="","",INDEX(환율!$C$12:$C$15,MATCH(D27,환율!$A$12:$A$15,0)))</f>
        <v>210.959681433549</v>
      </c>
      <c r="H27" s="32" t="n">
        <f aca="false">IF(F27="","",F27*G27)</f>
        <v>2028.72963965157</v>
      </c>
      <c r="I27" s="33" t="n">
        <v>10</v>
      </c>
      <c r="J27" s="34" t="n">
        <f aca="false">IF(H27="","",H27*I27/1000)</f>
        <v>20.2872963965157</v>
      </c>
      <c r="K27" s="40" t="n">
        <f aca="false">1000/(I27*1)</f>
        <v>100</v>
      </c>
    </row>
    <row r="28" customFormat="false" ht="15" hidden="false" customHeight="false" outlineLevel="0" collapsed="false">
      <c r="A28" s="6" t="n">
        <v>27</v>
      </c>
      <c r="B28" s="7" t="s">
        <v>151</v>
      </c>
      <c r="C28" s="27" t="n">
        <f aca="false">IF('원료 가격'!D35="","",'원료 가격'!D35)</f>
        <v>96.95</v>
      </c>
      <c r="D28" s="28" t="s">
        <v>24</v>
      </c>
      <c r="E28" s="29" t="n">
        <f aca="false">1/136.4</f>
        <v>0.00733137829912023</v>
      </c>
      <c r="F28" s="30" t="n">
        <f aca="false">IF(C28="","",C28*E28)</f>
        <v>0.710777126099707</v>
      </c>
      <c r="G28" s="31" t="n">
        <f aca="false">IF(D28="","",INDEX(환율!$C$12:$C$15,MATCH(D28,환율!$A$12:$A$15,0)))</f>
        <v>1424</v>
      </c>
      <c r="H28" s="32" t="n">
        <f aca="false">IF(F28="","",F28*G28)</f>
        <v>1012.14662756598</v>
      </c>
      <c r="I28" s="33" t="n">
        <v>20</v>
      </c>
      <c r="J28" s="34" t="n">
        <f aca="false">IF(H28="","",H28*I28/1000)</f>
        <v>20.2429325513196</v>
      </c>
      <c r="K28" s="41" t="n">
        <f aca="false">1000/(I28*1)</f>
        <v>50</v>
      </c>
    </row>
    <row r="29" customFormat="false" ht="15" hidden="false" customHeight="false" outlineLevel="0" collapsed="false">
      <c r="A29" s="6" t="n">
        <v>28</v>
      </c>
      <c r="B29" s="7" t="s">
        <v>154</v>
      </c>
      <c r="C29" s="27" t="n">
        <f aca="false">IF('원료 가격'!D36="","",'원료 가격'!D36)</f>
        <v>13983.33</v>
      </c>
      <c r="D29" s="28" t="s">
        <v>60</v>
      </c>
      <c r="E29" s="29" t="n">
        <v>0.001</v>
      </c>
      <c r="F29" s="30" t="n">
        <f aca="false">IF(C29="","",C29*E29)</f>
        <v>13.98333</v>
      </c>
      <c r="G29" s="31" t="n">
        <f aca="false">IF(D29="","",INDEX(환율!$C$12:$C$15,MATCH(D29,환율!$A$12:$A$15,0)))</f>
        <v>210.959681433549</v>
      </c>
      <c r="H29" s="32" t="n">
        <f aca="false">IF(F29="","",F29*G29)</f>
        <v>2949.91884218019</v>
      </c>
      <c r="I29" s="33" t="n">
        <v>8</v>
      </c>
      <c r="J29" s="34" t="n">
        <f aca="false">IF(H29="","",H29*I29/1000)</f>
        <v>23.5993507374415</v>
      </c>
      <c r="K29" s="40" t="n">
        <f aca="false">1000/(I29*1)</f>
        <v>125</v>
      </c>
    </row>
    <row r="30" customFormat="false" ht="15" hidden="false" customHeight="false" outlineLevel="0" collapsed="false">
      <c r="A30" s="6" t="n">
        <v>29</v>
      </c>
      <c r="B30" s="7" t="s">
        <v>158</v>
      </c>
      <c r="C30" s="27" t="n">
        <f aca="false">IF('원료 가격'!D37="","",'원료 가격'!D37)</f>
        <v>96.95</v>
      </c>
      <c r="D30" s="28" t="s">
        <v>24</v>
      </c>
      <c r="E30" s="29" t="n">
        <f aca="false">1/136.4</f>
        <v>0.00733137829912023</v>
      </c>
      <c r="F30" s="30" t="n">
        <f aca="false">IF(C30="","",C30*E30)</f>
        <v>0.710777126099707</v>
      </c>
      <c r="G30" s="31" t="n">
        <f aca="false">IF(D30="","",INDEX(환율!$C$12:$C$15,MATCH(D30,환율!$A$12:$A$15,0)))</f>
        <v>1424</v>
      </c>
      <c r="H30" s="32" t="n">
        <f aca="false">IF(F30="","",F30*G30)</f>
        <v>1012.14662756598</v>
      </c>
      <c r="I30" s="33" t="n">
        <v>16</v>
      </c>
      <c r="J30" s="34" t="n">
        <f aca="false">IF(H30="","",H30*I30/1000)</f>
        <v>16.1943460410557</v>
      </c>
      <c r="K30" s="41" t="n">
        <f aca="false">1000/(I30*1)</f>
        <v>62.5</v>
      </c>
    </row>
    <row r="31" customFormat="false" ht="15" hidden="false" customHeight="false" outlineLevel="0" collapsed="false">
      <c r="A31" s="6" t="n">
        <v>30</v>
      </c>
      <c r="B31" s="7" t="s">
        <v>161</v>
      </c>
      <c r="C31" s="27" t="n">
        <f aca="false">IF('원료 가격'!D38="","",'원료 가격'!D38)</f>
        <v>12650</v>
      </c>
      <c r="D31" s="28" t="s">
        <v>60</v>
      </c>
      <c r="E31" s="29" t="n">
        <v>0.001</v>
      </c>
      <c r="F31" s="30" t="n">
        <f aca="false">IF(C31="","",C31*E31)</f>
        <v>12.65</v>
      </c>
      <c r="G31" s="31" t="n">
        <f aca="false">IF(D31="","",INDEX(환율!$C$12:$C$15,MATCH(D31,환율!$A$12:$A$15,0)))</f>
        <v>210.959681433549</v>
      </c>
      <c r="H31" s="32" t="n">
        <f aca="false">IF(F31="","",F31*G31)</f>
        <v>2668.6399701344</v>
      </c>
      <c r="I31" s="33" t="n">
        <v>2</v>
      </c>
      <c r="J31" s="34" t="n">
        <f aca="false">IF(H31="","",H31*I31/1000)</f>
        <v>5.33727994026879</v>
      </c>
      <c r="K31" s="40" t="n">
        <f aca="false">1000/(I31*1)</f>
        <v>500</v>
      </c>
    </row>
    <row r="32" customFormat="false" ht="15" hidden="false" customHeight="false" outlineLevel="0" collapsed="false">
      <c r="A32" s="6" t="n">
        <v>31</v>
      </c>
      <c r="B32" s="7" t="s">
        <v>169</v>
      </c>
      <c r="C32" s="27" t="n">
        <f aca="false">IF('원료 가격'!D40="","",'원료 가격'!D40)</f>
        <v>310</v>
      </c>
      <c r="D32" s="28" t="s">
        <v>24</v>
      </c>
      <c r="E32" s="29" t="n">
        <v>0.001</v>
      </c>
      <c r="F32" s="30" t="n">
        <f aca="false">IF(C32="","",C32*E32)</f>
        <v>0.31</v>
      </c>
      <c r="G32" s="31" t="n">
        <f aca="false">IF(D32="","",INDEX(환율!$C$12:$C$15,MATCH(D32,환율!$A$12:$A$15,0)))</f>
        <v>1424</v>
      </c>
      <c r="H32" s="32" t="n">
        <f aca="false">IF(F32="","",F32*G32)</f>
        <v>441.44</v>
      </c>
      <c r="I32" s="33" t="n">
        <v>63</v>
      </c>
      <c r="J32" s="34" t="n">
        <f aca="false">IF(H32="","",H32*I32/1000)</f>
        <v>27.81072</v>
      </c>
      <c r="K32" s="36" t="n">
        <f aca="false">1000/(I32*12)</f>
        <v>1.32275132275132</v>
      </c>
    </row>
    <row r="33" customFormat="false" ht="15" hidden="false" customHeight="false" outlineLevel="0" collapsed="false">
      <c r="A33" s="6" t="n">
        <v>32</v>
      </c>
      <c r="B33" s="7" t="s">
        <v>173</v>
      </c>
      <c r="C33" s="27" t="n">
        <f aca="false">IF('원료 가격'!D41="","",'원료 가격'!D41)</f>
        <v>5.61</v>
      </c>
      <c r="D33" s="28" t="s">
        <v>24</v>
      </c>
      <c r="E33" s="29" t="n">
        <v>1</v>
      </c>
      <c r="F33" s="30" t="n">
        <f aca="false">IF(C33="","",C33*E33)</f>
        <v>5.61</v>
      </c>
      <c r="G33" s="31" t="n">
        <f aca="false">IF(D33="","",INDEX(환율!$C$12:$C$15,MATCH(D33,환율!$A$12:$A$15,0)))</f>
        <v>1424</v>
      </c>
      <c r="H33" s="32" t="n">
        <f aca="false">IF(F33="","",F33*G33)</f>
        <v>7988.64</v>
      </c>
      <c r="I33" s="33" t="n">
        <v>14.4</v>
      </c>
      <c r="J33" s="34" t="n">
        <f aca="false">IF(H33="","",H33*I33/1000)</f>
        <v>115.036416</v>
      </c>
      <c r="K33" s="36" t="n">
        <f aca="false">1000/(I33*12)</f>
        <v>5.78703703703704</v>
      </c>
    </row>
    <row r="34" customFormat="false" ht="15" hidden="false" customHeight="false" outlineLevel="0" collapsed="false">
      <c r="A34" s="6" t="n">
        <v>33</v>
      </c>
      <c r="B34" s="7" t="s">
        <v>177</v>
      </c>
      <c r="C34" s="27" t="n">
        <f aca="false">IF('원료 가격'!D42="","",'원료 가격'!D42)</f>
        <v>5.61</v>
      </c>
      <c r="D34" s="28" t="s">
        <v>24</v>
      </c>
      <c r="E34" s="29" t="n">
        <v>1</v>
      </c>
      <c r="F34" s="30" t="n">
        <f aca="false">IF(C34="","",C34*E34)</f>
        <v>5.61</v>
      </c>
      <c r="G34" s="31" t="n">
        <f aca="false">IF(D34="","",INDEX(환율!$C$12:$C$15,MATCH(D34,환율!$A$12:$A$15,0)))</f>
        <v>1424</v>
      </c>
      <c r="H34" s="32" t="n">
        <f aca="false">IF(F34="","",F34*G34)</f>
        <v>7988.64</v>
      </c>
      <c r="I34" s="33" t="n">
        <v>5.4</v>
      </c>
      <c r="J34" s="34" t="n">
        <f aca="false">IF(H34="","",H34*I34/1000)</f>
        <v>43.138656</v>
      </c>
      <c r="K34" s="36" t="n">
        <f aca="false">1000/(I34*12)</f>
        <v>15.4320987654321</v>
      </c>
    </row>
    <row r="35" customFormat="false" ht="15" hidden="false" customHeight="false" outlineLevel="0" collapsed="false">
      <c r="A35" s="6" t="n">
        <v>34</v>
      </c>
      <c r="B35" s="7" t="s">
        <v>180</v>
      </c>
      <c r="C35" s="27" t="n">
        <f aca="false">IF('원료 가격'!D43="","",'원료 가격'!D43)</f>
        <v>5.61</v>
      </c>
      <c r="D35" s="28" t="s">
        <v>24</v>
      </c>
      <c r="E35" s="29" t="n">
        <v>1</v>
      </c>
      <c r="F35" s="30" t="n">
        <f aca="false">IF(C35="","",C35*E35)</f>
        <v>5.61</v>
      </c>
      <c r="G35" s="31" t="n">
        <f aca="false">IF(D35="","",INDEX(환율!$C$12:$C$15,MATCH(D35,환율!$A$12:$A$15,0)))</f>
        <v>1424</v>
      </c>
      <c r="H35" s="32" t="n">
        <f aca="false">IF(F35="","",F35*G35)</f>
        <v>7988.64</v>
      </c>
      <c r="I35" s="33" t="n">
        <v>5.4</v>
      </c>
      <c r="J35" s="34" t="n">
        <f aca="false">IF(H35="","",H35*I35/1000)</f>
        <v>43.138656</v>
      </c>
      <c r="K35" s="36" t="n">
        <f aca="false">1000/(I35*12)</f>
        <v>15.4320987654321</v>
      </c>
    </row>
    <row r="36" customFormat="false" ht="15" hidden="false" customHeight="false" outlineLevel="0" collapsed="false">
      <c r="A36" s="6" t="n">
        <v>35</v>
      </c>
      <c r="B36" s="7" t="s">
        <v>184</v>
      </c>
      <c r="C36" s="27" t="n">
        <f aca="false">IF('원료 가격'!D44="","",'원료 가격'!D44)</f>
        <v>0.34</v>
      </c>
      <c r="D36" s="28" t="s">
        <v>24</v>
      </c>
      <c r="E36" s="29" t="n">
        <v>1</v>
      </c>
      <c r="F36" s="30" t="n">
        <f aca="false">IF(C36="","",C36*E36)</f>
        <v>0.34</v>
      </c>
      <c r="G36" s="31" t="n">
        <f aca="false">IF(D36="","",INDEX(환율!$C$12:$C$15,MATCH(D36,환율!$A$12:$A$15,0)))</f>
        <v>1424</v>
      </c>
      <c r="H36" s="32" t="n">
        <f aca="false">IF(F36="","",F36*G36)</f>
        <v>484.16</v>
      </c>
      <c r="I36" s="33" t="n">
        <v>36</v>
      </c>
      <c r="J36" s="34" t="n">
        <f aca="false">IF(H36="","",H36*I36/1000)</f>
        <v>17.42976</v>
      </c>
      <c r="K36" s="36" t="n">
        <f aca="false">1000/(I36*12)</f>
        <v>2.31481481481482</v>
      </c>
    </row>
    <row r="37" customFormat="false" ht="15" hidden="false" customHeight="false" outlineLevel="0" collapsed="false">
      <c r="A37" s="6" t="n">
        <v>36</v>
      </c>
      <c r="B37" s="7" t="s">
        <v>188</v>
      </c>
      <c r="C37" s="27" t="n">
        <f aca="false">IF('원료 가격'!D45="","",'원료 가격'!D45)</f>
        <v>0.34</v>
      </c>
      <c r="D37" s="28" t="s">
        <v>24</v>
      </c>
      <c r="E37" s="29" t="n">
        <v>1</v>
      </c>
      <c r="F37" s="30" t="n">
        <f aca="false">IF(C37="","",C37*E37)</f>
        <v>0.34</v>
      </c>
      <c r="G37" s="31" t="n">
        <f aca="false">IF(D37="","",INDEX(환율!$C$12:$C$15,MATCH(D37,환율!$A$12:$A$15,0)))</f>
        <v>1424</v>
      </c>
      <c r="H37" s="32" t="n">
        <f aca="false">IF(F37="","",F37*G37)</f>
        <v>484.16</v>
      </c>
      <c r="I37" s="33" t="n">
        <v>16.2</v>
      </c>
      <c r="J37" s="34" t="n">
        <f aca="false">IF(H37="","",H37*I37/1000)</f>
        <v>7.843392</v>
      </c>
      <c r="K37" s="36" t="n">
        <f aca="false">1000/(I37*12)</f>
        <v>5.1440329218107</v>
      </c>
    </row>
    <row r="38" customFormat="false" ht="15" hidden="false" customHeight="false" outlineLevel="0" collapsed="false">
      <c r="A38" s="6" t="n">
        <v>37</v>
      </c>
      <c r="B38" s="7" t="s">
        <v>192</v>
      </c>
      <c r="C38" s="27" t="n">
        <f aca="false">IF('원료 가격'!D46="","",'원료 가격'!D46)</f>
        <v>3960</v>
      </c>
      <c r="D38" s="28" t="s">
        <v>196</v>
      </c>
      <c r="E38" s="29" t="n">
        <v>0.001</v>
      </c>
      <c r="F38" s="30" t="n">
        <f aca="false">IF(C38="","",C38*E38)</f>
        <v>3.96</v>
      </c>
      <c r="G38" s="31" t="n">
        <f aca="false">IF(D38="","",INDEX(환율!$C$12:$C$15,MATCH(D38,환율!$A$12:$A$15,0)))</f>
        <v>1640.18715778995</v>
      </c>
      <c r="H38" s="32" t="n">
        <f aca="false">IF(F38="","",F38*G38)</f>
        <v>6495.14114484818</v>
      </c>
      <c r="I38" s="33" t="n">
        <v>32.4</v>
      </c>
      <c r="J38" s="34" t="n">
        <f aca="false">IF(H38="","",H38*I38/1000)</f>
        <v>210.442573093081</v>
      </c>
      <c r="K38" s="36" t="n">
        <f aca="false">1000/(I38*12)</f>
        <v>2.57201646090535</v>
      </c>
    </row>
    <row r="39" customFormat="false" ht="15" hidden="false" customHeight="false" outlineLevel="0" collapsed="false">
      <c r="A39" s="6" t="n">
        <v>38</v>
      </c>
      <c r="B39" s="7" t="s">
        <v>198</v>
      </c>
      <c r="C39" s="27" t="n">
        <f aca="false">IF('원료 가격'!D47="","",'원료 가격'!D47)</f>
        <v>1101</v>
      </c>
      <c r="D39" s="28" t="s">
        <v>24</v>
      </c>
      <c r="E39" s="29" t="n">
        <v>0.001</v>
      </c>
      <c r="F39" s="30" t="n">
        <f aca="false">IF(C39="","",C39*E39)</f>
        <v>1.101</v>
      </c>
      <c r="G39" s="31" t="n">
        <f aca="false">IF(D39="","",INDEX(환율!$C$12:$C$15,MATCH(D39,환율!$A$12:$A$15,0)))</f>
        <v>1424</v>
      </c>
      <c r="H39" s="32" t="n">
        <f aca="false">IF(F39="","",F39*G39)</f>
        <v>1567.824</v>
      </c>
      <c r="I39" s="33" t="n">
        <v>14.4</v>
      </c>
      <c r="J39" s="34" t="n">
        <f aca="false">IF(H39="","",H39*I39/1000)</f>
        <v>22.5766656</v>
      </c>
      <c r="K39" s="36" t="n">
        <f aca="false">1000/(I39*12)</f>
        <v>5.78703703703704</v>
      </c>
    </row>
    <row r="40" customFormat="false" ht="15" hidden="false" customHeight="false" outlineLevel="0" collapsed="false">
      <c r="A40" s="6" t="n">
        <v>39</v>
      </c>
      <c r="B40" s="7" t="s">
        <v>202</v>
      </c>
      <c r="C40" s="27" t="n">
        <f aca="false">IF('원료 가격'!D48="","",'원료 가격'!D48)</f>
        <v>2256</v>
      </c>
      <c r="D40" s="28" t="s">
        <v>205</v>
      </c>
      <c r="E40" s="29" t="n">
        <f aca="false">1/0.64</f>
        <v>1.5625</v>
      </c>
      <c r="F40" s="30" t="n">
        <f aca="false">IF(C40="","",C40*E40)</f>
        <v>3525</v>
      </c>
      <c r="G40" s="31" t="n">
        <f aca="false">IF(D40="","",INDEX(환율!$C$12:$C$15,MATCH(D40,환율!$A$12:$A$15,0)))</f>
        <v>1</v>
      </c>
      <c r="H40" s="32" t="n">
        <f aca="false">IF(F40="","",F40*G40)</f>
        <v>3525</v>
      </c>
      <c r="I40" s="33" t="n">
        <v>14.4</v>
      </c>
      <c r="J40" s="34" t="n">
        <f aca="false">IF(H40="","",H40*I40/1000)</f>
        <v>50.76</v>
      </c>
      <c r="K40" s="36" t="n">
        <f aca="false">1000/(I40*12)</f>
        <v>5.78703703703704</v>
      </c>
    </row>
    <row r="41" customFormat="false" ht="15" hidden="false" customHeight="false" outlineLevel="0" collapsed="false">
      <c r="A41" s="6" t="n">
        <v>40</v>
      </c>
      <c r="B41" s="7" t="s">
        <v>207</v>
      </c>
      <c r="C41" s="27" t="n">
        <f aca="false">IF('원료 가격'!D49="","",'원료 가격'!D49)</f>
        <v>882</v>
      </c>
      <c r="D41" s="28" t="s">
        <v>205</v>
      </c>
      <c r="E41" s="29" t="n">
        <f aca="false">1/1.03</f>
        <v>0.970873786407767</v>
      </c>
      <c r="F41" s="30" t="n">
        <f aca="false">IF(C41="","",C41*E41)</f>
        <v>856.310679611651</v>
      </c>
      <c r="G41" s="31" t="n">
        <f aca="false">IF(D41="","",INDEX(환율!$C$12:$C$15,MATCH(D41,환율!$A$12:$A$15,0)))</f>
        <v>1</v>
      </c>
      <c r="H41" s="32" t="n">
        <f aca="false">IF(F41="","",F41*G41)</f>
        <v>856.310679611651</v>
      </c>
      <c r="I41" s="33" t="n">
        <v>20</v>
      </c>
      <c r="J41" s="34" t="n">
        <f aca="false">IF(H41="","",H41*I41/1000)</f>
        <v>17.126213592233</v>
      </c>
      <c r="K41" s="36" t="n">
        <f aca="false">1000/(I41*12)</f>
        <v>4.16666666666667</v>
      </c>
    </row>
    <row r="42" customFormat="false" ht="15" hidden="false" customHeight="false" outlineLevel="0" collapsed="false">
      <c r="A42" s="6" t="n">
        <v>41</v>
      </c>
      <c r="B42" s="7" t="s">
        <v>211</v>
      </c>
      <c r="C42" s="27" t="n">
        <f aca="false">IF('원료 가격'!D50="","",'원료 가격'!D50)</f>
        <v>459</v>
      </c>
      <c r="D42" s="28" t="s">
        <v>24</v>
      </c>
      <c r="E42" s="29" t="n">
        <v>0.001</v>
      </c>
      <c r="F42" s="30" t="n">
        <f aca="false">IF(C42="","",C42*E42)</f>
        <v>0.459</v>
      </c>
      <c r="G42" s="31" t="n">
        <f aca="false">IF(D42="","",INDEX(환율!$C$12:$C$15,MATCH(D42,환율!$A$12:$A$15,0)))</f>
        <v>1424</v>
      </c>
      <c r="H42" s="32" t="n">
        <f aca="false">IF(F42="","",F42*G42)</f>
        <v>653.616</v>
      </c>
      <c r="I42" s="33" t="n">
        <v>0.2</v>
      </c>
      <c r="J42" s="34" t="n">
        <f aca="false">IF(H42="","",H42*I42/1000)</f>
        <v>0.1307232</v>
      </c>
      <c r="K42" s="37" t="n">
        <f aca="false">1000/(I42*12)</f>
        <v>416.666666666667</v>
      </c>
    </row>
    <row r="44" customFormat="false" ht="15" hidden="false" customHeight="false" outlineLevel="0" collapsed="false">
      <c r="A44" s="42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5" min="4" style="0" width="50"/>
  </cols>
  <sheetData>
    <row r="1" customFormat="false" ht="20.1" hidden="false" customHeight="false" outlineLevel="0" collapsed="false">
      <c r="A1" s="3" t="s">
        <v>230</v>
      </c>
    </row>
    <row r="2" customFormat="false" ht="15" hidden="false" customHeight="false" outlineLevel="0" collapsed="false">
      <c r="A2" s="43" t="s">
        <v>231</v>
      </c>
    </row>
    <row r="3" customFormat="false" ht="15" hidden="false" customHeight="false" outlineLevel="0" collapsed="false">
      <c r="A3" s="44" t="s">
        <v>232</v>
      </c>
      <c r="B3" s="45" t="n">
        <v>1424</v>
      </c>
      <c r="C3" s="44" t="s">
        <v>233</v>
      </c>
      <c r="D3" s="44" t="s">
        <v>234</v>
      </c>
      <c r="E3" s="46" t="s">
        <v>235</v>
      </c>
    </row>
    <row r="4" customFormat="false" ht="15" hidden="false" customHeight="false" outlineLevel="0" collapsed="false">
      <c r="A4" s="44" t="s">
        <v>236</v>
      </c>
      <c r="B4" s="45" t="n">
        <v>161.72</v>
      </c>
      <c r="C4" s="44" t="s">
        <v>237</v>
      </c>
      <c r="D4" s="47" t="s">
        <v>238</v>
      </c>
      <c r="E4" s="46" t="s">
        <v>239</v>
      </c>
    </row>
    <row r="5" customFormat="false" ht="15" hidden="false" customHeight="false" outlineLevel="0" collapsed="false">
      <c r="A5" s="44" t="s">
        <v>240</v>
      </c>
      <c r="B5" s="45" t="n">
        <v>159.72</v>
      </c>
      <c r="C5" s="44" t="s">
        <v>237</v>
      </c>
      <c r="D5" s="44" t="s">
        <v>241</v>
      </c>
    </row>
    <row r="6" customFormat="false" ht="15" hidden="false" customHeight="false" outlineLevel="0" collapsed="false">
      <c r="A6" s="44" t="s">
        <v>242</v>
      </c>
      <c r="B6" s="45" t="n">
        <v>24.11</v>
      </c>
      <c r="C6" s="44" t="s">
        <v>237</v>
      </c>
      <c r="D6" s="44" t="s">
        <v>243</v>
      </c>
    </row>
    <row r="7" customFormat="false" ht="15" hidden="false" customHeight="false" outlineLevel="0" collapsed="false">
      <c r="A7" s="44" t="s">
        <v>244</v>
      </c>
      <c r="B7" s="45" t="n">
        <v>23.51</v>
      </c>
      <c r="C7" s="44" t="s">
        <v>237</v>
      </c>
      <c r="D7" s="44" t="s">
        <v>241</v>
      </c>
    </row>
    <row r="8" customFormat="false" ht="15" hidden="false" customHeight="false" outlineLevel="0" collapsed="false">
      <c r="A8" s="44" t="s">
        <v>245</v>
      </c>
      <c r="B8" s="45" t="n">
        <v>186.62</v>
      </c>
      <c r="C8" s="44" t="s">
        <v>237</v>
      </c>
      <c r="D8" s="44" t="s">
        <v>241</v>
      </c>
    </row>
    <row r="9" customFormat="false" ht="15" hidden="false" customHeight="false" outlineLevel="0" collapsed="false">
      <c r="A9" s="44" t="s">
        <v>246</v>
      </c>
      <c r="B9" s="45" t="n">
        <v>183.62</v>
      </c>
      <c r="C9" s="44" t="s">
        <v>237</v>
      </c>
      <c r="D9" s="44" t="s">
        <v>241</v>
      </c>
    </row>
    <row r="11" customFormat="false" ht="15" hidden="false" customHeight="false" outlineLevel="0" collapsed="false">
      <c r="A11" s="48" t="s">
        <v>18</v>
      </c>
      <c r="B11" s="48" t="s">
        <v>247</v>
      </c>
      <c r="C11" s="49" t="s">
        <v>248</v>
      </c>
    </row>
    <row r="12" customFormat="false" ht="15" hidden="false" customHeight="false" outlineLevel="0" collapsed="false">
      <c r="A12" s="50" t="s">
        <v>24</v>
      </c>
      <c r="B12" s="51" t="s">
        <v>249</v>
      </c>
      <c r="C12" s="52" t="n">
        <f aca="false">B3</f>
        <v>1424</v>
      </c>
    </row>
    <row r="13" customFormat="false" ht="15" hidden="false" customHeight="false" outlineLevel="0" collapsed="false">
      <c r="A13" s="50" t="s">
        <v>60</v>
      </c>
      <c r="B13" s="51" t="s">
        <v>250</v>
      </c>
      <c r="C13" s="52" t="n">
        <f aca="false">B3/((B4+B5)/2/((B6+B7)/2))</f>
        <v>210.959681433549</v>
      </c>
    </row>
    <row r="14" customFormat="false" ht="15" hidden="false" customHeight="false" outlineLevel="0" collapsed="false">
      <c r="A14" s="50" t="s">
        <v>196</v>
      </c>
      <c r="B14" s="51" t="s">
        <v>251</v>
      </c>
      <c r="C14" s="52" t="n">
        <f aca="false">B3*((B8+B9)/2/((B4+B5)/2))</f>
        <v>1640.18715778995</v>
      </c>
    </row>
    <row r="15" customFormat="false" ht="15" hidden="false" customHeight="false" outlineLevel="0" collapsed="false">
      <c r="A15" s="50" t="s">
        <v>205</v>
      </c>
      <c r="B15" s="51" t="s">
        <v>252</v>
      </c>
      <c r="C15" s="52" t="n">
        <v>1</v>
      </c>
    </row>
    <row r="17" customFormat="false" ht="15" hidden="false" customHeight="false" outlineLevel="0" collapsed="false">
      <c r="A17" s="4" t="s">
        <v>253</v>
      </c>
    </row>
  </sheetData>
  <hyperlinks>
    <hyperlink ref="E3" r:id="rId1" display="https://www.mt.co.kr/economy/2026/07/31/2026073115373095223"/>
    <hyperlink ref="E4" r:id="rId2" display="https://murc-kawasesouba.jp/fx/past/index.php?id=26073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2026-10-19T00:52:57Z</dcterms:created>
  <dc:creator>openpyxl</dc:creator>
  <dc:description/>
  <dc:language>en-US</dc:language>
  <cp:lastModifiedBy/>
  <dcterms:modified xsi:type="dcterms:W3CDTF">2026-10-19T00:52:57Z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